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willzzh/Downloads/"/>
    </mc:Choice>
  </mc:AlternateContent>
  <xr:revisionPtr revIDLastSave="0" documentId="8_{DB27B794-3573-ED4D-A26F-5B18ABB3DE8A}" xr6:coauthVersionLast="47" xr6:coauthVersionMax="47" xr10:uidLastSave="{00000000-0000-0000-0000-000000000000}"/>
  <bookViews>
    <workbookView xWindow="2800" yWindow="2760" windowWidth="25180" windowHeight="18160" activeTab="4" xr2:uid="{41E868C9-04B9-8241-8084-EB1FF7D2BBD2}"/>
  </bookViews>
  <sheets>
    <sheet name="Assumptions" sheetId="2" r:id="rId1"/>
    <sheet name="Revenue Model" sheetId="3" r:id="rId2"/>
    <sheet name="Cost Structure" sheetId="4" r:id="rId3"/>
    <sheet name="P&amp;L" sheetId="5" r:id="rId4"/>
    <sheet name="Unit Economic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F11" i="6"/>
  <c r="G10" i="6"/>
  <c r="F10" i="6"/>
  <c r="E10" i="6"/>
  <c r="E11" i="6" s="1"/>
  <c r="D10" i="6"/>
  <c r="D11" i="6" s="1"/>
  <c r="C10" i="6"/>
  <c r="C11" i="6" s="1"/>
  <c r="G6" i="6"/>
  <c r="G5" i="6"/>
  <c r="F5" i="6"/>
  <c r="E5" i="6"/>
  <c r="D5" i="6"/>
  <c r="C5" i="6"/>
  <c r="G4" i="6"/>
  <c r="F4" i="6"/>
  <c r="F6" i="6" s="1"/>
  <c r="E4" i="6"/>
  <c r="E6" i="6" s="1"/>
  <c r="D4" i="6"/>
  <c r="D6" i="6" s="1"/>
  <c r="C4" i="6"/>
  <c r="C6" i="6" s="1"/>
  <c r="G18" i="5"/>
  <c r="F18" i="5"/>
  <c r="E18" i="5"/>
  <c r="D18" i="5"/>
  <c r="C18" i="5"/>
  <c r="G5" i="5"/>
  <c r="G15" i="4"/>
  <c r="G11" i="5" s="1"/>
  <c r="F15" i="4"/>
  <c r="F11" i="5" s="1"/>
  <c r="G14" i="4"/>
  <c r="F14" i="4"/>
  <c r="E14" i="4"/>
  <c r="D14" i="4"/>
  <c r="C14" i="4"/>
  <c r="G10" i="4"/>
  <c r="F10" i="4"/>
  <c r="E10" i="4"/>
  <c r="D10" i="4"/>
  <c r="C10" i="4"/>
  <c r="G6" i="4"/>
  <c r="F6" i="4"/>
  <c r="E6" i="4"/>
  <c r="D6" i="4"/>
  <c r="C6" i="4"/>
  <c r="G5" i="4"/>
  <c r="F5" i="4"/>
  <c r="E5" i="4"/>
  <c r="D5" i="4"/>
  <c r="C5" i="4"/>
  <c r="H5" i="4" s="1"/>
  <c r="G4" i="4"/>
  <c r="G7" i="4" s="1"/>
  <c r="F4" i="4"/>
  <c r="F7" i="4" s="1"/>
  <c r="E4" i="4"/>
  <c r="E7" i="4" s="1"/>
  <c r="D4" i="4"/>
  <c r="D7" i="4" s="1"/>
  <c r="C4" i="4"/>
  <c r="H4" i="4" s="1"/>
  <c r="G19" i="3"/>
  <c r="G15" i="3"/>
  <c r="F15" i="3"/>
  <c r="F5" i="5" s="1"/>
  <c r="E15" i="3"/>
  <c r="E5" i="5" s="1"/>
  <c r="G14" i="3"/>
  <c r="F14" i="3"/>
  <c r="E14" i="3"/>
  <c r="D14" i="3"/>
  <c r="C14" i="3"/>
  <c r="G13" i="3"/>
  <c r="F13" i="3"/>
  <c r="E13" i="3"/>
  <c r="D13" i="3"/>
  <c r="D15" i="3" s="1"/>
  <c r="C13" i="3"/>
  <c r="C15" i="3" s="1"/>
  <c r="C8" i="3"/>
  <c r="C10" i="3" s="1"/>
  <c r="G7" i="3"/>
  <c r="F7" i="3"/>
  <c r="E7" i="3"/>
  <c r="D7" i="3"/>
  <c r="C7" i="3"/>
  <c r="C6" i="3"/>
  <c r="G5" i="3"/>
  <c r="G6" i="3" s="1"/>
  <c r="G8" i="3" s="1"/>
  <c r="F5" i="3"/>
  <c r="F6" i="3" s="1"/>
  <c r="F8" i="3" s="1"/>
  <c r="E5" i="3"/>
  <c r="E6" i="3" s="1"/>
  <c r="E8" i="3" s="1"/>
  <c r="E10" i="3" s="1"/>
  <c r="D5" i="3"/>
  <c r="D6" i="3" s="1"/>
  <c r="D8" i="3" s="1"/>
  <c r="D10" i="3" s="1"/>
  <c r="C5" i="3"/>
  <c r="G4" i="3"/>
  <c r="F4" i="3"/>
  <c r="E4" i="3"/>
  <c r="E15" i="4" s="1"/>
  <c r="D4" i="3"/>
  <c r="D15" i="4" s="1"/>
  <c r="C4" i="3"/>
  <c r="C15" i="4" s="1"/>
  <c r="G14" i="2"/>
  <c r="G9" i="3" s="1"/>
  <c r="F14" i="2"/>
  <c r="F9" i="3" s="1"/>
  <c r="E14" i="2"/>
  <c r="E9" i="3" s="1"/>
  <c r="D14" i="2"/>
  <c r="D9" i="3" s="1"/>
  <c r="C14" i="2"/>
  <c r="C9" i="3" s="1"/>
  <c r="G9" i="2"/>
  <c r="F9" i="2"/>
  <c r="E9" i="2"/>
  <c r="G7" i="2"/>
  <c r="F7" i="2"/>
  <c r="E7" i="2"/>
  <c r="D7" i="2"/>
  <c r="D9" i="2" s="1"/>
  <c r="C7" i="2"/>
  <c r="C9" i="2" s="1"/>
  <c r="G5" i="2"/>
  <c r="F5" i="2"/>
  <c r="E5" i="2"/>
  <c r="D5" i="2"/>
  <c r="C20" i="4" l="1"/>
  <c r="C11" i="5"/>
  <c r="H15" i="4"/>
  <c r="H20" i="4" s="1"/>
  <c r="D11" i="5"/>
  <c r="D20" i="4"/>
  <c r="C5" i="5"/>
  <c r="C19" i="3"/>
  <c r="H15" i="3"/>
  <c r="H19" i="3" s="1"/>
  <c r="E11" i="5"/>
  <c r="E20" i="4"/>
  <c r="D19" i="3"/>
  <c r="D5" i="5"/>
  <c r="E4" i="5"/>
  <c r="E6" i="5" s="1"/>
  <c r="E18" i="3"/>
  <c r="C4" i="5"/>
  <c r="C18" i="3"/>
  <c r="D9" i="5"/>
  <c r="D18" i="4"/>
  <c r="D4" i="5"/>
  <c r="D18" i="3"/>
  <c r="F18" i="4"/>
  <c r="F9" i="5"/>
  <c r="G9" i="5"/>
  <c r="G18" i="4"/>
  <c r="F10" i="3"/>
  <c r="E9" i="5"/>
  <c r="E18" i="4"/>
  <c r="G10" i="3"/>
  <c r="C7" i="4"/>
  <c r="F20" i="4"/>
  <c r="G20" i="4"/>
  <c r="E19" i="3"/>
  <c r="F19" i="3"/>
  <c r="D20" i="3" l="1"/>
  <c r="F4" i="5"/>
  <c r="F6" i="5" s="1"/>
  <c r="F18" i="3"/>
  <c r="D25" i="3"/>
  <c r="E25" i="3"/>
  <c r="D6" i="5"/>
  <c r="H5" i="5"/>
  <c r="C9" i="5"/>
  <c r="H7" i="4"/>
  <c r="H18" i="4" s="1"/>
  <c r="C18" i="4"/>
  <c r="G18" i="3"/>
  <c r="G4" i="5"/>
  <c r="G6" i="5" s="1"/>
  <c r="H10" i="3"/>
  <c r="H18" i="3" s="1"/>
  <c r="C20" i="3"/>
  <c r="C25" i="3" s="1"/>
  <c r="C6" i="5"/>
  <c r="H11" i="5"/>
  <c r="E20" i="3"/>
  <c r="H20" i="3" l="1"/>
  <c r="H25" i="3" s="1"/>
  <c r="H24" i="3"/>
  <c r="G20" i="3"/>
  <c r="G24" i="3"/>
  <c r="E26" i="3"/>
  <c r="E9" i="6" s="1"/>
  <c r="E21" i="3"/>
  <c r="E11" i="4"/>
  <c r="D26" i="3"/>
  <c r="D9" i="6" s="1"/>
  <c r="D11" i="4"/>
  <c r="D21" i="3"/>
  <c r="D24" i="3"/>
  <c r="E24" i="3"/>
  <c r="H4" i="5"/>
  <c r="H6" i="5" s="1"/>
  <c r="F20" i="3"/>
  <c r="F24" i="3"/>
  <c r="H9" i="5"/>
  <c r="C26" i="3"/>
  <c r="C9" i="6" s="1"/>
  <c r="C11" i="4"/>
  <c r="C24" i="3"/>
  <c r="E19" i="4" l="1"/>
  <c r="E21" i="4" s="1"/>
  <c r="E10" i="5"/>
  <c r="E12" i="5" s="1"/>
  <c r="E15" i="5" s="1"/>
  <c r="C19" i="4"/>
  <c r="C21" i="4" s="1"/>
  <c r="C10" i="5"/>
  <c r="G26" i="3"/>
  <c r="G9" i="6" s="1"/>
  <c r="G21" i="3"/>
  <c r="G11" i="4"/>
  <c r="G25" i="3"/>
  <c r="E20" i="6"/>
  <c r="E12" i="6"/>
  <c r="E15" i="6" s="1"/>
  <c r="E16" i="6" s="1"/>
  <c r="E17" i="6"/>
  <c r="F26" i="3"/>
  <c r="F9" i="6" s="1"/>
  <c r="F21" i="3"/>
  <c r="F11" i="4"/>
  <c r="F25" i="3"/>
  <c r="C20" i="6"/>
  <c r="C12" i="6"/>
  <c r="C15" i="6" s="1"/>
  <c r="C16" i="6" s="1"/>
  <c r="C17" i="6"/>
  <c r="D19" i="4"/>
  <c r="D21" i="4" s="1"/>
  <c r="D10" i="5"/>
  <c r="D12" i="5" s="1"/>
  <c r="D15" i="5" s="1"/>
  <c r="D20" i="6"/>
  <c r="D17" i="6"/>
  <c r="D12" i="6"/>
  <c r="D15" i="6" s="1"/>
  <c r="D16" i="6" s="1"/>
  <c r="C12" i="5" l="1"/>
  <c r="C15" i="5" s="1"/>
  <c r="D19" i="5"/>
  <c r="D20" i="5" s="1"/>
  <c r="D21" i="5" s="1"/>
  <c r="D16" i="5"/>
  <c r="G19" i="4"/>
  <c r="G21" i="4" s="1"/>
  <c r="G10" i="5"/>
  <c r="G12" i="5" s="1"/>
  <c r="G15" i="5" s="1"/>
  <c r="D22" i="4"/>
  <c r="D21" i="6"/>
  <c r="D22" i="6" s="1"/>
  <c r="D23" i="6" s="1"/>
  <c r="G20" i="6"/>
  <c r="G12" i="6"/>
  <c r="G15" i="6" s="1"/>
  <c r="G16" i="6" s="1"/>
  <c r="G17" i="6"/>
  <c r="H11" i="4"/>
  <c r="H19" i="4" s="1"/>
  <c r="H21" i="4" s="1"/>
  <c r="F19" i="4"/>
  <c r="F21" i="4" s="1"/>
  <c r="F10" i="5"/>
  <c r="F12" i="5" s="1"/>
  <c r="F15" i="5" s="1"/>
  <c r="C21" i="6"/>
  <c r="C22" i="6" s="1"/>
  <c r="C23" i="6" s="1"/>
  <c r="C22" i="4"/>
  <c r="E19" i="5"/>
  <c r="E20" i="5"/>
  <c r="E21" i="5" s="1"/>
  <c r="E16" i="5"/>
  <c r="F20" i="6"/>
  <c r="F12" i="6"/>
  <c r="F15" i="6" s="1"/>
  <c r="F16" i="6" s="1"/>
  <c r="F17" i="6"/>
  <c r="E22" i="4"/>
  <c r="E21" i="6"/>
  <c r="E22" i="6" s="1"/>
  <c r="E23" i="6" s="1"/>
  <c r="G21" i="6" l="1"/>
  <c r="G22" i="4"/>
  <c r="F19" i="5"/>
  <c r="F20" i="5"/>
  <c r="F21" i="5" s="1"/>
  <c r="F16" i="5"/>
  <c r="F22" i="4"/>
  <c r="F21" i="6"/>
  <c r="C19" i="5"/>
  <c r="C16" i="5"/>
  <c r="G22" i="6"/>
  <c r="G23" i="6" s="1"/>
  <c r="F22" i="6"/>
  <c r="F23" i="6" s="1"/>
  <c r="G19" i="5"/>
  <c r="G20" i="5" s="1"/>
  <c r="G21" i="5" s="1"/>
  <c r="G16" i="5"/>
  <c r="H10" i="5"/>
  <c r="H12" i="5" s="1"/>
  <c r="H15" i="5" s="1"/>
  <c r="H19" i="5" l="1"/>
  <c r="C20" i="5"/>
  <c r="H20" i="5"/>
  <c r="C22" i="5" l="1"/>
  <c r="D22" i="5" s="1"/>
  <c r="E22" i="5" s="1"/>
  <c r="F22" i="5" s="1"/>
  <c r="G22" i="5" s="1"/>
  <c r="C21" i="5"/>
</calcChain>
</file>

<file path=xl/sharedStrings.xml><?xml version="1.0" encoding="utf-8"?>
<sst xmlns="http://schemas.openxmlformats.org/spreadsheetml/2006/main" count="162" uniqueCount="133">
  <si>
    <t>CIRCLES — KEY ASSUMPTIONS</t>
  </si>
  <si>
    <t>Assumption</t>
  </si>
  <si>
    <t>Year 1</t>
  </si>
  <si>
    <t>Year 2</t>
  </si>
  <si>
    <t>Year 3</t>
  </si>
  <si>
    <t>Year 4</t>
  </si>
  <si>
    <t>Year 5</t>
  </si>
  <si>
    <t>Notes</t>
  </si>
  <si>
    <t>USER GROWTH</t>
  </si>
  <si>
    <t>Total Users (EOY)</t>
  </si>
  <si>
    <t>Launch in 2 major cities Y1</t>
  </si>
  <si>
    <t>YoY User Growth %</t>
  </si>
  <si>
    <t>—</t>
  </si>
  <si>
    <t>Calculated from user targets</t>
  </si>
  <si>
    <t>Premium Conversion Rate</t>
  </si>
  <si>
    <t>Improves with product maturity</t>
  </si>
  <si>
    <t>Premium Users</t>
  </si>
  <si>
    <t>Users x Conversion Rate</t>
  </si>
  <si>
    <t>Annual Churn Rate (Premium)</t>
  </si>
  <si>
    <t>5% annual churn assumption</t>
  </si>
  <si>
    <t>Net Premium Users (after churn)</t>
  </si>
  <si>
    <t>Retained paying subscribers</t>
  </si>
  <si>
    <t>Cities Launched</t>
  </si>
  <si>
    <t>Geographic expansion plan</t>
  </si>
  <si>
    <t>PRICING &amp; REVENUE</t>
  </si>
  <si>
    <t>Monthly Subscription Price</t>
  </si>
  <si>
    <t>Price increase Y4-Y5 with features</t>
  </si>
  <si>
    <t>Annual Subscription (per user)</t>
  </si>
  <si>
    <t>Monthly x 12</t>
  </si>
  <si>
    <t>B2B Partners (Businesses)</t>
  </si>
  <si>
    <t>Gyms, cafes, universities, apts</t>
  </si>
  <si>
    <t>Avg B2B Annual Contract Value</t>
  </si>
  <si>
    <t>Featured location packages</t>
  </si>
  <si>
    <t>COST STRUCTURE</t>
  </si>
  <si>
    <t>Engineering Headcount</t>
  </si>
  <si>
    <t>iOS, Android, Backend, AI/ML</t>
  </si>
  <si>
    <t>Avg Engineering Salary</t>
  </si>
  <si>
    <t>Fully loaded cost per head</t>
  </si>
  <si>
    <t>Marketing Spend (% of Rev)</t>
  </si>
  <si>
    <t>Decreases as organic grows</t>
  </si>
  <si>
    <t>G&amp;A / Ops Headcount</t>
  </si>
  <si>
    <t>Ops, finance, HR, legal, CS</t>
  </si>
  <si>
    <t>Avg G&amp;A Salary</t>
  </si>
  <si>
    <t>Infrastructure Cost / User / Yr</t>
  </si>
  <si>
    <t>AWS/GCP, scales down per user</t>
  </si>
  <si>
    <t>Customer Acq Cost (CAC)</t>
  </si>
  <si>
    <t>Declines with virality/brand</t>
  </si>
  <si>
    <t>VALUATION &amp; EXIT</t>
  </si>
  <si>
    <t>Revenue Multiple (Exit)</t>
  </si>
  <si>
    <t>SaaS/social platform comps</t>
  </si>
  <si>
    <t>Discount Rate (WACC)</t>
  </si>
  <si>
    <t>Early-stage risk premium</t>
  </si>
  <si>
    <t>Tax Rate</t>
  </si>
  <si>
    <t>NOL carryforward Y1-Y2</t>
  </si>
  <si>
    <t>Potential Acquirers</t>
  </si>
  <si>
    <t>Meta, Bumble, Snap, Strava, Eventbrite</t>
  </si>
  <si>
    <t>CIRCLES — REVENUE MODEL</t>
  </si>
  <si>
    <t>Revenue Drivers</t>
  </si>
  <si>
    <t>5-Yr Total</t>
  </si>
  <si>
    <t>SUBSCRIPTION REVENUE (B2C)</t>
  </si>
  <si>
    <t>Total Users</t>
  </si>
  <si>
    <t>Gross Premium Users</t>
  </si>
  <si>
    <t>Less: Churn</t>
  </si>
  <si>
    <t>Net Premium Users</t>
  </si>
  <si>
    <t>Annual Subscription Price</t>
  </si>
  <si>
    <t>Total Subscription Revenue</t>
  </si>
  <si>
    <t>B2B REVENUE (FEATURED LOCATIONS)</t>
  </si>
  <si>
    <t>B2B Partners</t>
  </si>
  <si>
    <t>Avg Annual Contract Value</t>
  </si>
  <si>
    <t>Total B2B Revenue</t>
  </si>
  <si>
    <t>TOTAL REVENUE SUMMARY</t>
  </si>
  <si>
    <t>Subscription Revenue</t>
  </si>
  <si>
    <t>B2B Revenue</t>
  </si>
  <si>
    <t>TOTAL REVENUE</t>
  </si>
  <si>
    <t>YoY Revenue Growth</t>
  </si>
  <si>
    <t>REVENUE MIX (%)</t>
  </si>
  <si>
    <t>Subscription % of Total</t>
  </si>
  <si>
    <t>B2B % of Total</t>
  </si>
  <si>
    <t>Avg Revenue Per User (ARPU)</t>
  </si>
  <si>
    <t>CIRCLES — COST STRUCTURE</t>
  </si>
  <si>
    <t>Cost Category</t>
  </si>
  <si>
    <t>PERSONNEL COSTS</t>
  </si>
  <si>
    <t>Engineering</t>
  </si>
  <si>
    <t>G&amp;A / Operations</t>
  </si>
  <si>
    <t>Total Headcount</t>
  </si>
  <si>
    <t>Total Personnel Costs</t>
  </si>
  <si>
    <t>MARKETING &amp; GROWTH</t>
  </si>
  <si>
    <t>Marketing Spend (% Rev)</t>
  </si>
  <si>
    <t>Marketing Spend</t>
  </si>
  <si>
    <t>INFRASTRUCTURE &amp; HOSTING</t>
  </si>
  <si>
    <t>Cost / User / Year</t>
  </si>
  <si>
    <t>Infrastructure Cost</t>
  </si>
  <si>
    <t>TOTAL OPERATING EXPENSES</t>
  </si>
  <si>
    <t>Personnel</t>
  </si>
  <si>
    <t>Marketing</t>
  </si>
  <si>
    <t>Infrastructure</t>
  </si>
  <si>
    <t>OpEx as % of Revenue</t>
  </si>
  <si>
    <t>CIRCLES — PROJECTED INCOME STATEMENT</t>
  </si>
  <si>
    <t>($)</t>
  </si>
  <si>
    <t>REVENUE</t>
  </si>
  <si>
    <t>Total Revenue</t>
  </si>
  <si>
    <t>OPERATING EXPENSES</t>
  </si>
  <si>
    <t>Personnel Costs</t>
  </si>
  <si>
    <t>Marketing &amp; Growth</t>
  </si>
  <si>
    <t>Infrastructure &amp; Hosting</t>
  </si>
  <si>
    <t>Total Operating Expenses</t>
  </si>
  <si>
    <t>PROFITABILITY</t>
  </si>
  <si>
    <t>EBITDA</t>
  </si>
  <si>
    <t>EBITDA Margin</t>
  </si>
  <si>
    <t>Taxes</t>
  </si>
  <si>
    <t>NET INCOME</t>
  </si>
  <si>
    <t>Net Margin</t>
  </si>
  <si>
    <t>Cumulative Net Income</t>
  </si>
  <si>
    <t>CIRCLES — UNIT ECONOMICS</t>
  </si>
  <si>
    <t>Metric</t>
  </si>
  <si>
    <t>CUSTOMER ACQUISITION</t>
  </si>
  <si>
    <t>New Users Acquired</t>
  </si>
  <si>
    <t>Customer Acquisition Cost (CAC)</t>
  </si>
  <si>
    <t>Total Acquisition Spend</t>
  </si>
  <si>
    <t>LIFETIME VALUE (LTV)</t>
  </si>
  <si>
    <t>ARPU (Annual)</t>
  </si>
  <si>
    <t>Annual Churn Rate</t>
  </si>
  <si>
    <t>Avg Customer Lifespan (yrs)</t>
  </si>
  <si>
    <t>LTV per User</t>
  </si>
  <si>
    <t>KEY RATIOS &amp; PAYBACK</t>
  </si>
  <si>
    <t>LTV / CAC Ratio</t>
  </si>
  <si>
    <t>Benchmark (healthy &gt; 3.0x)</t>
  </si>
  <si>
    <t>CAC Payback Period (months)</t>
  </si>
  <si>
    <t>PER-USER ECONOMICS</t>
  </si>
  <si>
    <t>Revenue per User</t>
  </si>
  <si>
    <t>Cost per User</t>
  </si>
  <si>
    <t>Contribution per User</t>
  </si>
  <si>
    <t>Contribution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</si>
</sst>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&quot;$&quot;#,##0"/>
    <numFmt numFmtId="166" formatCode="&quot;$&quot;#,##0.00"/>
    <numFmt numFmtId="167" formatCode="0.0\x"/>
    <numFmt numFmtId="168" formatCode="&quot;$&quot;#,##0;\(&quot;$&quot;#,##0\);&quot;-&quot;"/>
    <numFmt numFmtId="169" formatCode="0.0"/>
    <numFmt numFmtId="170" formatCode="&quot;$&quot;#,##0.00;\(&quot;$&quot;#,##0.00\);&quot;-&quot;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B2A4A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B2A4A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sz val="12"/>
      <color rgb="FF999999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8EFF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4" fillId="4" borderId="0" xfId="0" applyFont="1" applyFill="1"/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0" fillId="0" borderId="0" xfId="0" applyFont="1"/>
    <xf numFmtId="165" fontId="1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10" fillId="0" borderId="0" xfId="0" applyNumberFormat="1" applyFont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6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7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B2C 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{"Year 1"}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F2CE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Model'!$B$10</c:f>
              <c:strCache>
                <c:ptCount val="1"/>
                <c:pt idx="0">
                  <c:v>Total Subscription Revenue</c:v>
                </c:pt>
              </c:strCache>
            </c:strRef>
          </c:cat>
          <c:val>
            <c:numRef>
              <c:f>'Revenue Model'!$C$10</c:f>
              <c:numCache>
                <c:formatCode>"$"#,##0</c:formatCode>
                <c:ptCount val="1"/>
                <c:pt idx="0">
                  <c:v>273600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2A-466B-ACC2-FF22460CA1E7}"/>
            </c:ext>
          </c:extLst>
        </c:ser>
        <c:ser>
          <c:idx val="1"/>
          <c:order val="1"/>
          <c:tx>
            <c:strRef>
              <c:f>{"Year 2"}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Model'!$B$10</c:f>
              <c:strCache>
                <c:ptCount val="1"/>
                <c:pt idx="0">
                  <c:v>Total Subscription Revenue</c:v>
                </c:pt>
              </c:strCache>
            </c:strRef>
          </c:cat>
          <c:val>
            <c:numRef>
              <c:f>'Revenue Model'!$D$10</c:f>
              <c:numCache>
                <c:formatCode>"$"#,##0</c:formatCode>
                <c:ptCount val="1"/>
                <c:pt idx="0">
                  <c:v>1231200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2A-466B-ACC2-FF22460CA1E7}"/>
            </c:ext>
          </c:extLst>
        </c:ser>
        <c:ser>
          <c:idx val="2"/>
          <c:order val="2"/>
          <c:tx>
            <c:strRef>
              <c:f>{"Year 3"}</c:f>
              <c:strCache>
                <c:ptCount val="1"/>
                <c:pt idx="0">
                  <c:v>Year 3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Model'!$B$10</c:f>
              <c:strCache>
                <c:ptCount val="1"/>
                <c:pt idx="0">
                  <c:v>Total Subscription Revenue</c:v>
                </c:pt>
              </c:strCache>
            </c:strRef>
          </c:cat>
          <c:val>
            <c:numRef>
              <c:f>'Revenue Model'!$E$10</c:f>
              <c:numCache>
                <c:formatCode>"$"#,##0</c:formatCode>
                <c:ptCount val="1"/>
                <c:pt idx="0">
                  <c:v>5130000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2A-466B-ACC2-FF22460CA1E7}"/>
            </c:ext>
          </c:extLst>
        </c:ser>
        <c:ser>
          <c:idx val="3"/>
          <c:order val="3"/>
          <c:tx>
            <c:strRef>
              <c:f>{"Year 4"}</c:f>
              <c:strCache>
                <c:ptCount val="1"/>
                <c:pt idx="0">
                  <c:v>Year 4</c:v>
                </c:pt>
              </c:strCache>
            </c:strRef>
          </c:tx>
          <c:spPr>
            <a:solidFill>
              <a:srgbClr val="7821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Model'!$B$10</c:f>
              <c:strCache>
                <c:ptCount val="1"/>
                <c:pt idx="0">
                  <c:v>Total Subscription Revenue</c:v>
                </c:pt>
              </c:strCache>
            </c:strRef>
          </c:cat>
          <c:val>
            <c:numRef>
              <c:f>'Revenue Model'!$F$10</c:f>
              <c:numCache>
                <c:formatCode>"$"#,##0</c:formatCode>
                <c:ptCount val="1"/>
                <c:pt idx="0">
                  <c:v>21546000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2A-466B-ACC2-FF22460CA1E7}"/>
            </c:ext>
          </c:extLst>
        </c:ser>
        <c:ser>
          <c:idx val="4"/>
          <c:order val="4"/>
          <c:tx>
            <c:v>Year 5</c:v>
          </c:tx>
          <c:spPr>
            <a:solidFill>
              <a:srgbClr val="5115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Model'!$B$10</c:f>
              <c:strCache>
                <c:ptCount val="1"/>
                <c:pt idx="0">
                  <c:v>Total Subscription Revenue</c:v>
                </c:pt>
              </c:strCache>
            </c:strRef>
          </c:cat>
          <c:val>
            <c:numRef>
              <c:f>'Revenue Model'!$G$10</c:f>
              <c:numCache>
                <c:formatCode>"$"#,##0</c:formatCode>
                <c:ptCount val="1"/>
                <c:pt idx="0">
                  <c:v>68400000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2A-466B-ACC2-FF22460CA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056264"/>
        <c:axId val="353058312"/>
      </c:barChart>
      <c:catAx>
        <c:axId val="35305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58312"/>
        <c:crosses val="autoZero"/>
        <c:auto val="1"/>
        <c:lblAlgn val="ctr"/>
        <c:lblOffset val="100"/>
        <c:noMultiLvlLbl val="0"/>
      </c:catAx>
      <c:valAx>
        <c:axId val="3530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5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B2B 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 1</c:v>
          </c:tx>
          <c:spPr>
            <a:solidFill>
              <a:srgbClr val="F2CE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Model'!$B$15</c:f>
              <c:strCache>
                <c:ptCount val="1"/>
                <c:pt idx="0">
                  <c:v>Total B2B Revenue</c:v>
                </c:pt>
              </c:strCache>
            </c:strRef>
          </c:cat>
          <c:val>
            <c:numRef>
              <c:f>'Revenue Model'!$C$15</c:f>
              <c:numCache>
                <c:formatCode>"$"#,##0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3-49FA-93E3-7F7D5B5A1AF7}"/>
            </c:ext>
          </c:extLst>
        </c:ser>
        <c:ser>
          <c:idx val="1"/>
          <c:order val="1"/>
          <c:tx>
            <c:v>Year 2</c:v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Model'!$B$15</c:f>
              <c:strCache>
                <c:ptCount val="1"/>
                <c:pt idx="0">
                  <c:v>Total B2B Revenue</c:v>
                </c:pt>
              </c:strCache>
            </c:strRef>
          </c:cat>
          <c:val>
            <c:numRef>
              <c:f>'Revenue Model'!$D$15</c:f>
              <c:numCache>
                <c:formatCode>"$"#,##0</c:formatCode>
                <c:ptCount val="1"/>
                <c:pt idx="0">
                  <c:v>399990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C3-49FA-93E3-7F7D5B5A1AF7}"/>
            </c:ext>
          </c:extLst>
        </c:ser>
        <c:ser>
          <c:idx val="2"/>
          <c:order val="2"/>
          <c:tx>
            <c:v>Year 3</c:v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Model'!$B$15</c:f>
              <c:strCache>
                <c:ptCount val="1"/>
                <c:pt idx="0">
                  <c:v>Total B2B Revenue</c:v>
                </c:pt>
              </c:strCache>
            </c:strRef>
          </c:cat>
          <c:val>
            <c:numRef>
              <c:f>'Revenue Model'!$E$15</c:f>
              <c:numCache>
                <c:formatCode>"$"#,##0</c:formatCode>
                <c:ptCount val="1"/>
                <c:pt idx="0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C3-49FA-93E3-7F7D5B5A1AF7}"/>
            </c:ext>
          </c:extLst>
        </c:ser>
        <c:ser>
          <c:idx val="3"/>
          <c:order val="3"/>
          <c:tx>
            <c:v>Year 4</c:v>
          </c:tx>
          <c:spPr>
            <a:solidFill>
              <a:srgbClr val="7821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Model'!$B$15</c:f>
              <c:strCache>
                <c:ptCount val="1"/>
                <c:pt idx="0">
                  <c:v>Total B2B Revenue</c:v>
                </c:pt>
              </c:strCache>
            </c:strRef>
          </c:cat>
          <c:val>
            <c:numRef>
              <c:f>'Revenue Model'!$F$15</c:f>
              <c:numCache>
                <c:formatCode>"$"#,##0</c:formatCode>
                <c:ptCount val="1"/>
                <c:pt idx="0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C3-49FA-93E3-7F7D5B5A1AF7}"/>
            </c:ext>
          </c:extLst>
        </c:ser>
        <c:ser>
          <c:idx val="4"/>
          <c:order val="4"/>
          <c:tx>
            <c:v>Year 5</c:v>
          </c:tx>
          <c:spPr>
            <a:solidFill>
              <a:srgbClr val="5115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Model'!$B$15</c:f>
              <c:strCache>
                <c:ptCount val="1"/>
                <c:pt idx="0">
                  <c:v>Total B2B Revenue</c:v>
                </c:pt>
              </c:strCache>
            </c:strRef>
          </c:cat>
          <c:val>
            <c:numRef>
              <c:f>'Revenue Model'!$G$15</c:f>
              <c:numCache>
                <c:formatCode>"$"#,##0</c:formatCode>
                <c:ptCount val="1"/>
                <c:pt idx="0">
                  <c:v>7999950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C3-49FA-93E3-7F7D5B5A1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056264"/>
        <c:axId val="353058312"/>
      </c:barChart>
      <c:catAx>
        <c:axId val="35305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58312"/>
        <c:crosses val="autoZero"/>
        <c:auto val="1"/>
        <c:lblAlgn val="ctr"/>
        <c:lblOffset val="100"/>
        <c:noMultiLvlLbl val="0"/>
      </c:catAx>
      <c:valAx>
        <c:axId val="3530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5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0</xdr:rowOff>
    </xdr:from>
    <xdr:to>
      <xdr:col>13</xdr:col>
      <xdr:colOff>714375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30B9D-606D-A5F8-AD9C-9BF130E23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13</xdr:row>
      <xdr:rowOff>57150</xdr:rowOff>
    </xdr:from>
    <xdr:to>
      <xdr:col>14</xdr:col>
      <xdr:colOff>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C6F48F-A6DC-4D40-AC60-E3B350E08021}"/>
            </a:ext>
            <a:ext uri="{147F2762-F138-4A5C-976F-8EAC2B608ADB}">
              <a16:predDERef xmlns:a16="http://schemas.microsoft.com/office/drawing/2014/main" pred="{54730B9D-606D-A5F8-AD9C-9BF130E23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3CC4E7-C0E9-7A42-881D-0559BCDDDB8D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C601-961D-3F4D-9B14-776AF7E7A253}">
  <dimension ref="A1:H31"/>
  <sheetViews>
    <sheetView zoomScale="136" workbookViewId="0">
      <selection activeCell="B18" sqref="B18"/>
    </sheetView>
  </sheetViews>
  <sheetFormatPr baseColWidth="10" defaultColWidth="11" defaultRowHeight="16" x14ac:dyDescent="0.2"/>
  <cols>
    <col min="1" max="1" width="2.5" customWidth="1"/>
    <col min="2" max="2" width="35" customWidth="1"/>
    <col min="3" max="7" width="16.5" customWidth="1"/>
    <col min="8" max="8" width="38.33203125" customWidth="1"/>
  </cols>
  <sheetData>
    <row r="1" spans="1:8" ht="30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4" t="s">
        <v>7</v>
      </c>
    </row>
    <row r="3" spans="1:8" x14ac:dyDescent="0.2">
      <c r="A3" s="6"/>
      <c r="B3" s="7" t="s">
        <v>8</v>
      </c>
      <c r="C3" s="6"/>
      <c r="D3" s="6"/>
      <c r="E3" s="6"/>
      <c r="F3" s="6"/>
      <c r="G3" s="6"/>
      <c r="H3" s="6"/>
    </row>
    <row r="4" spans="1:8" x14ac:dyDescent="0.2">
      <c r="B4" t="s">
        <v>9</v>
      </c>
      <c r="C4" s="8">
        <v>20000</v>
      </c>
      <c r="D4" s="8">
        <v>75000</v>
      </c>
      <c r="E4" s="8">
        <v>250000</v>
      </c>
      <c r="F4" s="8">
        <v>750000</v>
      </c>
      <c r="G4" s="8">
        <v>2000000</v>
      </c>
      <c r="H4" s="9" t="s">
        <v>10</v>
      </c>
    </row>
    <row r="5" spans="1:8" x14ac:dyDescent="0.2">
      <c r="B5" t="s">
        <v>11</v>
      </c>
      <c r="C5" s="14" t="s">
        <v>12</v>
      </c>
      <c r="D5" s="11">
        <f>(D4-C4)/C4</f>
        <v>2.75</v>
      </c>
      <c r="E5" s="11">
        <f>(E4-D4)/D4</f>
        <v>2.3333333333333335</v>
      </c>
      <c r="F5" s="11">
        <f>(F4-E4)/E4</f>
        <v>2</v>
      </c>
      <c r="G5" s="11">
        <f>(G4-F4)/F4</f>
        <v>1.6666666666666667</v>
      </c>
      <c r="H5" s="9" t="s">
        <v>13</v>
      </c>
    </row>
    <row r="6" spans="1:8" x14ac:dyDescent="0.2">
      <c r="B6" t="s">
        <v>14</v>
      </c>
      <c r="C6" s="12">
        <v>0.1</v>
      </c>
      <c r="D6" s="12">
        <v>0.12</v>
      </c>
      <c r="E6" s="12">
        <v>0.15</v>
      </c>
      <c r="F6" s="12">
        <v>0.18</v>
      </c>
      <c r="G6" s="12">
        <v>0.2</v>
      </c>
      <c r="H6" s="9" t="s">
        <v>15</v>
      </c>
    </row>
    <row r="7" spans="1:8" x14ac:dyDescent="0.2">
      <c r="B7" t="s">
        <v>16</v>
      </c>
      <c r="C7" s="13">
        <f>C4*C6</f>
        <v>2000</v>
      </c>
      <c r="D7" s="13">
        <f>D4*D6</f>
        <v>9000</v>
      </c>
      <c r="E7" s="13">
        <f>E4*E6</f>
        <v>37500</v>
      </c>
      <c r="F7" s="13">
        <f>F4*F6</f>
        <v>135000</v>
      </c>
      <c r="G7" s="13">
        <f>G4*G6</f>
        <v>400000</v>
      </c>
      <c r="H7" s="9" t="s">
        <v>17</v>
      </c>
    </row>
    <row r="8" spans="1:8" x14ac:dyDescent="0.2">
      <c r="B8" t="s">
        <v>18</v>
      </c>
      <c r="C8" s="12">
        <v>0.05</v>
      </c>
      <c r="D8" s="12">
        <v>0.05</v>
      </c>
      <c r="E8" s="12">
        <v>0.05</v>
      </c>
      <c r="F8" s="12">
        <v>0.05</v>
      </c>
      <c r="G8" s="12">
        <v>0.05</v>
      </c>
      <c r="H8" s="9" t="s">
        <v>19</v>
      </c>
    </row>
    <row r="9" spans="1:8" x14ac:dyDescent="0.2">
      <c r="B9" t="s">
        <v>20</v>
      </c>
      <c r="C9" s="13">
        <f>C7*(1-C8)</f>
        <v>1900</v>
      </c>
      <c r="D9" s="13">
        <f>D7*(1-D8)</f>
        <v>8550</v>
      </c>
      <c r="E9" s="13">
        <f>E7*(1-E8)</f>
        <v>35625</v>
      </c>
      <c r="F9" s="13">
        <f>F7*(1-F8)</f>
        <v>128250</v>
      </c>
      <c r="G9" s="13">
        <f>G7*(1-G8)</f>
        <v>380000</v>
      </c>
      <c r="H9" s="9" t="s">
        <v>21</v>
      </c>
    </row>
    <row r="10" spans="1:8" x14ac:dyDescent="0.2">
      <c r="B10" t="s">
        <v>22</v>
      </c>
      <c r="C10" s="8">
        <v>2</v>
      </c>
      <c r="D10" s="8">
        <v>5</v>
      </c>
      <c r="E10" s="8">
        <v>12</v>
      </c>
      <c r="F10" s="8">
        <v>25</v>
      </c>
      <c r="G10" s="8">
        <v>50</v>
      </c>
      <c r="H10" s="9" t="s">
        <v>23</v>
      </c>
    </row>
    <row r="12" spans="1:8" x14ac:dyDescent="0.2">
      <c r="A12" s="6"/>
      <c r="B12" s="7" t="s">
        <v>24</v>
      </c>
      <c r="C12" s="6"/>
      <c r="D12" s="6"/>
      <c r="E12" s="6"/>
      <c r="F12" s="6"/>
      <c r="G12" s="6"/>
      <c r="H12" s="6"/>
    </row>
    <row r="13" spans="1:8" x14ac:dyDescent="0.2">
      <c r="B13" t="s">
        <v>25</v>
      </c>
      <c r="C13" s="15">
        <v>12</v>
      </c>
      <c r="D13" s="15">
        <v>12</v>
      </c>
      <c r="E13" s="15">
        <v>12</v>
      </c>
      <c r="F13" s="15">
        <v>14</v>
      </c>
      <c r="G13" s="15">
        <v>15</v>
      </c>
      <c r="H13" s="9" t="s">
        <v>26</v>
      </c>
    </row>
    <row r="14" spans="1:8" x14ac:dyDescent="0.2">
      <c r="B14" t="s">
        <v>27</v>
      </c>
      <c r="C14" s="16">
        <f>C13*12</f>
        <v>144</v>
      </c>
      <c r="D14" s="16">
        <f>D13*12</f>
        <v>144</v>
      </c>
      <c r="E14" s="16">
        <f>E13*12</f>
        <v>144</v>
      </c>
      <c r="F14" s="16">
        <f>F13*12</f>
        <v>168</v>
      </c>
      <c r="G14" s="16">
        <f>G13*12</f>
        <v>180</v>
      </c>
      <c r="H14" s="9" t="s">
        <v>28</v>
      </c>
    </row>
    <row r="15" spans="1:8" x14ac:dyDescent="0.2">
      <c r="B15" t="s">
        <v>29</v>
      </c>
      <c r="C15" s="8">
        <v>10</v>
      </c>
      <c r="D15" s="8">
        <v>30</v>
      </c>
      <c r="E15" s="8">
        <v>80</v>
      </c>
      <c r="F15" s="8">
        <v>175</v>
      </c>
      <c r="G15" s="8">
        <v>350</v>
      </c>
      <c r="H15" s="9" t="s">
        <v>30</v>
      </c>
    </row>
    <row r="16" spans="1:8" x14ac:dyDescent="0.2">
      <c r="B16" t="s">
        <v>31</v>
      </c>
      <c r="C16" s="15">
        <v>10000</v>
      </c>
      <c r="D16" s="15">
        <v>13333</v>
      </c>
      <c r="E16" s="15">
        <v>15000</v>
      </c>
      <c r="F16" s="15">
        <v>20000</v>
      </c>
      <c r="G16" s="15">
        <v>22857</v>
      </c>
      <c r="H16" s="9" t="s">
        <v>32</v>
      </c>
    </row>
    <row r="18" spans="1:8" x14ac:dyDescent="0.2">
      <c r="A18" s="6"/>
      <c r="B18" s="7" t="s">
        <v>33</v>
      </c>
      <c r="C18" s="6"/>
      <c r="D18" s="6"/>
      <c r="E18" s="6"/>
      <c r="F18" s="6"/>
      <c r="G18" s="6"/>
      <c r="H18" s="6"/>
    </row>
    <row r="19" spans="1:8" x14ac:dyDescent="0.2">
      <c r="B19" t="s">
        <v>34</v>
      </c>
      <c r="C19" s="8">
        <v>4</v>
      </c>
      <c r="D19" s="8">
        <v>8</v>
      </c>
      <c r="E19" s="8">
        <v>15</v>
      </c>
      <c r="F19" s="8">
        <v>25</v>
      </c>
      <c r="G19" s="8">
        <v>40</v>
      </c>
      <c r="H19" s="9" t="s">
        <v>35</v>
      </c>
    </row>
    <row r="20" spans="1:8" x14ac:dyDescent="0.2">
      <c r="B20" t="s">
        <v>36</v>
      </c>
      <c r="C20" s="15">
        <v>95000</v>
      </c>
      <c r="D20" s="15">
        <v>100000</v>
      </c>
      <c r="E20" s="15">
        <v>110000</v>
      </c>
      <c r="F20" s="15">
        <v>120000</v>
      </c>
      <c r="G20" s="15">
        <v>130000</v>
      </c>
      <c r="H20" s="9" t="s">
        <v>37</v>
      </c>
    </row>
    <row r="21" spans="1:8" x14ac:dyDescent="0.2">
      <c r="B21" t="s">
        <v>38</v>
      </c>
      <c r="C21" s="12">
        <v>0.45</v>
      </c>
      <c r="D21" s="12">
        <v>0.3</v>
      </c>
      <c r="E21" s="12">
        <v>0.2</v>
      </c>
      <c r="F21" s="12">
        <v>0.15</v>
      </c>
      <c r="G21" s="12">
        <v>0.12</v>
      </c>
      <c r="H21" s="9" t="s">
        <v>39</v>
      </c>
    </row>
    <row r="22" spans="1:8" x14ac:dyDescent="0.2">
      <c r="B22" t="s">
        <v>40</v>
      </c>
      <c r="C22" s="8">
        <v>3</v>
      </c>
      <c r="D22" s="8">
        <v>6</v>
      </c>
      <c r="E22" s="8">
        <v>12</v>
      </c>
      <c r="F22" s="8">
        <v>20</v>
      </c>
      <c r="G22" s="8">
        <v>35</v>
      </c>
      <c r="H22" s="9" t="s">
        <v>41</v>
      </c>
    </row>
    <row r="23" spans="1:8" x14ac:dyDescent="0.2">
      <c r="B23" t="s">
        <v>42</v>
      </c>
      <c r="C23" s="15">
        <v>70000</v>
      </c>
      <c r="D23" s="15">
        <v>75000</v>
      </c>
      <c r="E23" s="15">
        <v>80000</v>
      </c>
      <c r="F23" s="15">
        <v>85000</v>
      </c>
      <c r="G23" s="15">
        <v>90000</v>
      </c>
      <c r="H23" s="9" t="s">
        <v>37</v>
      </c>
    </row>
    <row r="24" spans="1:8" x14ac:dyDescent="0.2">
      <c r="B24" t="s">
        <v>43</v>
      </c>
      <c r="C24" s="17">
        <v>2.5</v>
      </c>
      <c r="D24" s="17">
        <v>2</v>
      </c>
      <c r="E24" s="17">
        <v>1.5</v>
      </c>
      <c r="F24" s="17">
        <v>1.2</v>
      </c>
      <c r="G24" s="17">
        <v>1</v>
      </c>
      <c r="H24" s="9" t="s">
        <v>44</v>
      </c>
    </row>
    <row r="25" spans="1:8" x14ac:dyDescent="0.2">
      <c r="B25" t="s">
        <v>45</v>
      </c>
      <c r="C25" s="17">
        <v>8</v>
      </c>
      <c r="D25" s="17">
        <v>6</v>
      </c>
      <c r="E25" s="17">
        <v>4.5</v>
      </c>
      <c r="F25" s="17">
        <v>3.5</v>
      </c>
      <c r="G25" s="17">
        <v>3</v>
      </c>
      <c r="H25" s="9" t="s">
        <v>46</v>
      </c>
    </row>
    <row r="27" spans="1:8" x14ac:dyDescent="0.2">
      <c r="A27" s="6"/>
      <c r="B27" s="7" t="s">
        <v>47</v>
      </c>
      <c r="C27" s="6"/>
      <c r="D27" s="6"/>
      <c r="E27" s="6"/>
      <c r="F27" s="6"/>
      <c r="G27" s="6"/>
      <c r="H27" s="6"/>
    </row>
    <row r="28" spans="1:8" x14ac:dyDescent="0.2">
      <c r="B28" t="s">
        <v>48</v>
      </c>
      <c r="C28" s="10"/>
      <c r="D28" s="10"/>
      <c r="E28" s="10"/>
      <c r="F28" s="10"/>
      <c r="G28" s="18">
        <v>8</v>
      </c>
      <c r="H28" s="9" t="s">
        <v>49</v>
      </c>
    </row>
    <row r="29" spans="1:8" x14ac:dyDescent="0.2">
      <c r="B29" t="s">
        <v>50</v>
      </c>
      <c r="C29" s="10"/>
      <c r="D29" s="10"/>
      <c r="E29" s="10"/>
      <c r="F29" s="10"/>
      <c r="G29" s="12">
        <v>0.25</v>
      </c>
      <c r="H29" s="9" t="s">
        <v>51</v>
      </c>
    </row>
    <row r="30" spans="1:8" x14ac:dyDescent="0.2">
      <c r="B30" t="s">
        <v>52</v>
      </c>
      <c r="C30" s="12">
        <v>0</v>
      </c>
      <c r="D30" s="12">
        <v>0</v>
      </c>
      <c r="E30" s="12">
        <v>0.15</v>
      </c>
      <c r="F30" s="12">
        <v>0.21</v>
      </c>
      <c r="G30" s="12">
        <v>0.21</v>
      </c>
      <c r="H30" s="9" t="s">
        <v>53</v>
      </c>
    </row>
    <row r="31" spans="1:8" x14ac:dyDescent="0.2">
      <c r="B31" t="s">
        <v>54</v>
      </c>
      <c r="C31" s="10"/>
      <c r="D31" s="10"/>
      <c r="E31" s="10"/>
      <c r="F31" s="10"/>
      <c r="G31" s="10"/>
      <c r="H31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7F2B-CB29-3547-A5DC-F9E6CB2957BA}">
  <dimension ref="A1:H26"/>
  <sheetViews>
    <sheetView topLeftCell="B2" zoomScale="139" workbookViewId="0"/>
  </sheetViews>
  <sheetFormatPr baseColWidth="10" defaultColWidth="11" defaultRowHeight="16" x14ac:dyDescent="0.2"/>
  <cols>
    <col min="1" max="1" width="2.5" customWidth="1"/>
    <col min="2" max="2" width="35" customWidth="1"/>
    <col min="3" max="8" width="18.33203125" customWidth="1"/>
  </cols>
  <sheetData>
    <row r="1" spans="1:8" ht="30" customHeight="1" x14ac:dyDescent="0.25">
      <c r="A1" s="1" t="s">
        <v>56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4" t="s">
        <v>57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58</v>
      </c>
    </row>
    <row r="3" spans="1:8" x14ac:dyDescent="0.2">
      <c r="A3" s="6"/>
      <c r="B3" s="7" t="s">
        <v>59</v>
      </c>
      <c r="C3" s="6"/>
      <c r="D3" s="6"/>
      <c r="E3" s="6"/>
      <c r="F3" s="6"/>
      <c r="G3" s="6"/>
      <c r="H3" s="6"/>
    </row>
    <row r="4" spans="1:8" x14ac:dyDescent="0.2">
      <c r="B4" t="s">
        <v>60</v>
      </c>
      <c r="C4" s="19">
        <f>Assumptions!C4</f>
        <v>20000</v>
      </c>
      <c r="D4" s="19">
        <f>Assumptions!D4</f>
        <v>75000</v>
      </c>
      <c r="E4" s="19">
        <f>Assumptions!E4</f>
        <v>250000</v>
      </c>
      <c r="F4" s="19">
        <f>Assumptions!F4</f>
        <v>750000</v>
      </c>
      <c r="G4" s="19">
        <f>Assumptions!G4</f>
        <v>2000000</v>
      </c>
    </row>
    <row r="5" spans="1:8" x14ac:dyDescent="0.2">
      <c r="B5" t="s">
        <v>14</v>
      </c>
      <c r="C5" s="20">
        <f>Assumptions!C6</f>
        <v>0.1</v>
      </c>
      <c r="D5" s="20">
        <f>Assumptions!D6</f>
        <v>0.12</v>
      </c>
      <c r="E5" s="20">
        <f>Assumptions!E6</f>
        <v>0.15</v>
      </c>
      <c r="F5" s="20">
        <f>Assumptions!F6</f>
        <v>0.18</v>
      </c>
      <c r="G5" s="20">
        <f>Assumptions!G6</f>
        <v>0.2</v>
      </c>
    </row>
    <row r="6" spans="1:8" x14ac:dyDescent="0.2">
      <c r="B6" t="s">
        <v>61</v>
      </c>
      <c r="C6" s="13">
        <f>C4*C5</f>
        <v>2000</v>
      </c>
      <c r="D6" s="13">
        <f>D4*D5</f>
        <v>9000</v>
      </c>
      <c r="E6" s="13">
        <f>E4*E5</f>
        <v>37500</v>
      </c>
      <c r="F6" s="13">
        <f>F4*F5</f>
        <v>135000</v>
      </c>
      <c r="G6" s="13">
        <f>G4*G5</f>
        <v>400000</v>
      </c>
    </row>
    <row r="7" spans="1:8" x14ac:dyDescent="0.2">
      <c r="B7" t="s">
        <v>62</v>
      </c>
      <c r="C7" s="20">
        <f>Assumptions!C8</f>
        <v>0.05</v>
      </c>
      <c r="D7" s="20">
        <f>Assumptions!D8</f>
        <v>0.05</v>
      </c>
      <c r="E7" s="20">
        <f>Assumptions!E8</f>
        <v>0.05</v>
      </c>
      <c r="F7" s="20">
        <f>Assumptions!F8</f>
        <v>0.05</v>
      </c>
      <c r="G7" s="20">
        <f>Assumptions!G8</f>
        <v>0.05</v>
      </c>
    </row>
    <row r="8" spans="1:8" x14ac:dyDescent="0.2">
      <c r="B8" s="21" t="s">
        <v>63</v>
      </c>
      <c r="C8" s="22">
        <f>C6*(1-C7)</f>
        <v>1900</v>
      </c>
      <c r="D8" s="22">
        <f>D6*(1-D7)</f>
        <v>8550</v>
      </c>
      <c r="E8" s="22">
        <f>E6*(1-E7)</f>
        <v>35625</v>
      </c>
      <c r="F8" s="22">
        <f>F6*(1-F7)</f>
        <v>128250</v>
      </c>
      <c r="G8" s="22">
        <f>G6*(1-G7)</f>
        <v>380000</v>
      </c>
    </row>
    <row r="9" spans="1:8" x14ac:dyDescent="0.2">
      <c r="B9" t="s">
        <v>64</v>
      </c>
      <c r="C9" s="23">
        <f>Assumptions!C14</f>
        <v>144</v>
      </c>
      <c r="D9" s="23">
        <f>Assumptions!D14</f>
        <v>144</v>
      </c>
      <c r="E9" s="23">
        <f>Assumptions!E14</f>
        <v>144</v>
      </c>
      <c r="F9" s="23">
        <f>Assumptions!F14</f>
        <v>168</v>
      </c>
      <c r="G9" s="23">
        <f>Assumptions!G14</f>
        <v>180</v>
      </c>
    </row>
    <row r="10" spans="1:8" x14ac:dyDescent="0.2">
      <c r="B10" s="21" t="s">
        <v>65</v>
      </c>
      <c r="C10" s="24">
        <f>C8*C9</f>
        <v>273600</v>
      </c>
      <c r="D10" s="25">
        <f>D8*D9</f>
        <v>1231200</v>
      </c>
      <c r="E10" s="25">
        <f>E8*E9</f>
        <v>5130000</v>
      </c>
      <c r="F10" s="25">
        <f>F8*F9</f>
        <v>21546000</v>
      </c>
      <c r="G10" s="25">
        <f>G8*G9</f>
        <v>68400000</v>
      </c>
      <c r="H10" s="25">
        <f>SUM(C10:G10)</f>
        <v>96580800</v>
      </c>
    </row>
    <row r="12" spans="1:8" x14ac:dyDescent="0.2">
      <c r="A12" s="6"/>
      <c r="B12" s="7" t="s">
        <v>66</v>
      </c>
      <c r="C12" s="6"/>
      <c r="D12" s="6"/>
      <c r="E12" s="6"/>
      <c r="F12" s="6"/>
      <c r="G12" s="6"/>
      <c r="H12" s="6"/>
    </row>
    <row r="13" spans="1:8" x14ac:dyDescent="0.2">
      <c r="B13" t="s">
        <v>67</v>
      </c>
      <c r="C13" s="19">
        <f>Assumptions!C15</f>
        <v>10</v>
      </c>
      <c r="D13" s="19">
        <f>Assumptions!D15</f>
        <v>30</v>
      </c>
      <c r="E13" s="19">
        <f>Assumptions!E15</f>
        <v>80</v>
      </c>
      <c r="F13" s="19">
        <f>Assumptions!F15</f>
        <v>175</v>
      </c>
      <c r="G13" s="19">
        <f>Assumptions!G15</f>
        <v>350</v>
      </c>
    </row>
    <row r="14" spans="1:8" x14ac:dyDescent="0.2">
      <c r="B14" t="s">
        <v>68</v>
      </c>
      <c r="C14" s="23">
        <f>Assumptions!C16</f>
        <v>10000</v>
      </c>
      <c r="D14" s="23">
        <f>Assumptions!D16</f>
        <v>13333</v>
      </c>
      <c r="E14" s="23">
        <f>Assumptions!E16</f>
        <v>15000</v>
      </c>
      <c r="F14" s="23">
        <f>Assumptions!F16</f>
        <v>20000</v>
      </c>
      <c r="G14" s="23">
        <f>Assumptions!G16</f>
        <v>22857</v>
      </c>
    </row>
    <row r="15" spans="1:8" x14ac:dyDescent="0.2">
      <c r="B15" s="21" t="s">
        <v>69</v>
      </c>
      <c r="C15" s="25">
        <f>C13*C14</f>
        <v>100000</v>
      </c>
      <c r="D15" s="25">
        <f>D13*D14</f>
        <v>399990</v>
      </c>
      <c r="E15" s="25">
        <f>E13*E14</f>
        <v>1200000</v>
      </c>
      <c r="F15" s="25">
        <f>F13*F14</f>
        <v>3500000</v>
      </c>
      <c r="G15" s="25">
        <f>G13*G14</f>
        <v>7999950</v>
      </c>
      <c r="H15" s="25">
        <f>SUM(C15:G15)</f>
        <v>13199940</v>
      </c>
    </row>
    <row r="17" spans="1:8" x14ac:dyDescent="0.2">
      <c r="A17" s="6"/>
      <c r="B17" s="7" t="s">
        <v>70</v>
      </c>
      <c r="C17" s="6"/>
      <c r="D17" s="6"/>
      <c r="E17" s="6"/>
      <c r="F17" s="6"/>
      <c r="G17" s="6"/>
      <c r="H17" s="6"/>
    </row>
    <row r="18" spans="1:8" x14ac:dyDescent="0.2">
      <c r="B18" t="s">
        <v>71</v>
      </c>
      <c r="C18" s="16">
        <f t="shared" ref="C18:H18" si="0">C10</f>
        <v>273600</v>
      </c>
      <c r="D18" s="16">
        <f t="shared" si="0"/>
        <v>1231200</v>
      </c>
      <c r="E18" s="16">
        <f t="shared" si="0"/>
        <v>5130000</v>
      </c>
      <c r="F18" s="16">
        <f t="shared" si="0"/>
        <v>21546000</v>
      </c>
      <c r="G18" s="16">
        <f t="shared" si="0"/>
        <v>68400000</v>
      </c>
      <c r="H18" s="16">
        <f t="shared" si="0"/>
        <v>96580800</v>
      </c>
    </row>
    <row r="19" spans="1:8" x14ac:dyDescent="0.2">
      <c r="B19" t="s">
        <v>72</v>
      </c>
      <c r="C19" s="16">
        <f t="shared" ref="C19:H19" si="1">C15</f>
        <v>100000</v>
      </c>
      <c r="D19" s="16">
        <f t="shared" si="1"/>
        <v>399990</v>
      </c>
      <c r="E19" s="16">
        <f t="shared" si="1"/>
        <v>1200000</v>
      </c>
      <c r="F19" s="16">
        <f t="shared" si="1"/>
        <v>3500000</v>
      </c>
      <c r="G19" s="16">
        <f t="shared" si="1"/>
        <v>7999950</v>
      </c>
      <c r="H19" s="16">
        <f t="shared" si="1"/>
        <v>13199940</v>
      </c>
    </row>
    <row r="20" spans="1:8" x14ac:dyDescent="0.2">
      <c r="B20" s="26" t="s">
        <v>73</v>
      </c>
      <c r="C20" s="27">
        <f t="shared" ref="C20:H20" si="2">C18+C19</f>
        <v>373600</v>
      </c>
      <c r="D20" s="27">
        <f t="shared" si="2"/>
        <v>1631190</v>
      </c>
      <c r="E20" s="27">
        <f t="shared" si="2"/>
        <v>6330000</v>
      </c>
      <c r="F20" s="27">
        <f t="shared" si="2"/>
        <v>25046000</v>
      </c>
      <c r="G20" s="27">
        <f t="shared" si="2"/>
        <v>76399950</v>
      </c>
      <c r="H20" s="27">
        <f t="shared" si="2"/>
        <v>109780740</v>
      </c>
    </row>
    <row r="21" spans="1:8" x14ac:dyDescent="0.2">
      <c r="B21" t="s">
        <v>74</v>
      </c>
      <c r="C21" s="14" t="s">
        <v>12</v>
      </c>
      <c r="D21" s="11">
        <f>(D20-C20)/C20</f>
        <v>3.3661402569593148</v>
      </c>
      <c r="E21" s="11">
        <f>(E20-D20)/D20</f>
        <v>2.8806025049197213</v>
      </c>
      <c r="F21" s="11">
        <f>(F20-E20)/E20</f>
        <v>2.9567140600315955</v>
      </c>
      <c r="G21" s="11">
        <f>(G20-F20)/F20</f>
        <v>2.0503852910644413</v>
      </c>
    </row>
    <row r="23" spans="1:8" x14ac:dyDescent="0.2">
      <c r="A23" s="6"/>
      <c r="B23" s="7" t="s">
        <v>75</v>
      </c>
      <c r="C23" s="6"/>
      <c r="D23" s="6"/>
      <c r="E23" s="6"/>
      <c r="F23" s="6"/>
      <c r="G23" s="6"/>
      <c r="H23" s="6"/>
    </row>
    <row r="24" spans="1:8" x14ac:dyDescent="0.2">
      <c r="B24" t="s">
        <v>76</v>
      </c>
      <c r="C24" s="11">
        <f t="shared" ref="C24:H24" si="3">C18/C20</f>
        <v>0.73233404710920769</v>
      </c>
      <c r="D24" s="11">
        <f t="shared" si="3"/>
        <v>0.75478638294741873</v>
      </c>
      <c r="E24" s="11">
        <f t="shared" si="3"/>
        <v>0.81042654028436023</v>
      </c>
      <c r="F24" s="11">
        <f t="shared" si="3"/>
        <v>0.86025712688652878</v>
      </c>
      <c r="G24" s="11">
        <f t="shared" si="3"/>
        <v>0.89528854403700531</v>
      </c>
      <c r="H24" s="11">
        <f t="shared" si="3"/>
        <v>0.87976087608810072</v>
      </c>
    </row>
    <row r="25" spans="1:8" x14ac:dyDescent="0.2">
      <c r="B25" t="s">
        <v>77</v>
      </c>
      <c r="C25" s="11">
        <f t="shared" ref="C25:H25" si="4">C19/C20</f>
        <v>0.26766595289079231</v>
      </c>
      <c r="D25" s="11">
        <f t="shared" si="4"/>
        <v>0.24521361705258124</v>
      </c>
      <c r="E25" s="11">
        <f t="shared" si="4"/>
        <v>0.1895734597156398</v>
      </c>
      <c r="F25" s="11">
        <f t="shared" si="4"/>
        <v>0.13974287311347122</v>
      </c>
      <c r="G25" s="11">
        <f t="shared" si="4"/>
        <v>0.10471145596299473</v>
      </c>
      <c r="H25" s="11">
        <f t="shared" si="4"/>
        <v>0.1202391239118993</v>
      </c>
    </row>
    <row r="26" spans="1:8" x14ac:dyDescent="0.2">
      <c r="B26" t="s">
        <v>78</v>
      </c>
      <c r="C26" s="28">
        <f>C20/C4</f>
        <v>18.68</v>
      </c>
      <c r="D26" s="28">
        <f>D20/D4</f>
        <v>21.749199999999998</v>
      </c>
      <c r="E26" s="28">
        <f>E20/E4</f>
        <v>25.32</v>
      </c>
      <c r="F26" s="28">
        <f>F20/F4</f>
        <v>33.394666666666666</v>
      </c>
      <c r="G26" s="28">
        <f>G20/G4</f>
        <v>38.199975000000002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A1AF-CD62-CB4C-A7A4-974658E22513}">
  <dimension ref="A1:H22"/>
  <sheetViews>
    <sheetView zoomScale="150" workbookViewId="0"/>
  </sheetViews>
  <sheetFormatPr baseColWidth="10" defaultColWidth="11" defaultRowHeight="16" x14ac:dyDescent="0.2"/>
  <cols>
    <col min="1" max="1" width="2.5" customWidth="1"/>
    <col min="2" max="2" width="35" customWidth="1"/>
    <col min="3" max="8" width="18.33203125" customWidth="1"/>
  </cols>
  <sheetData>
    <row r="1" spans="1:8" ht="30" customHeight="1" x14ac:dyDescent="0.25">
      <c r="A1" s="1" t="s">
        <v>79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4" t="s">
        <v>80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58</v>
      </c>
    </row>
    <row r="3" spans="1:8" x14ac:dyDescent="0.2">
      <c r="A3" s="6"/>
      <c r="B3" s="7" t="s">
        <v>81</v>
      </c>
      <c r="C3" s="6"/>
      <c r="D3" s="6"/>
      <c r="E3" s="6"/>
      <c r="F3" s="6"/>
      <c r="G3" s="6"/>
      <c r="H3" s="6"/>
    </row>
    <row r="4" spans="1:8" x14ac:dyDescent="0.2">
      <c r="B4" t="s">
        <v>82</v>
      </c>
      <c r="C4" s="23">
        <f>Assumptions!C19*Assumptions!C20</f>
        <v>380000</v>
      </c>
      <c r="D4" s="23">
        <f>Assumptions!D19*Assumptions!D20</f>
        <v>800000</v>
      </c>
      <c r="E4" s="23">
        <f>Assumptions!E19*Assumptions!E20</f>
        <v>1650000</v>
      </c>
      <c r="F4" s="23">
        <f>Assumptions!F19*Assumptions!F20</f>
        <v>3000000</v>
      </c>
      <c r="G4" s="23">
        <f>Assumptions!G19*Assumptions!G20</f>
        <v>5200000</v>
      </c>
      <c r="H4" s="16">
        <f>SUM(C4:G4)</f>
        <v>11030000</v>
      </c>
    </row>
    <row r="5" spans="1:8" x14ac:dyDescent="0.2">
      <c r="B5" t="s">
        <v>83</v>
      </c>
      <c r="C5" s="23">
        <f>Assumptions!C22*Assumptions!C23</f>
        <v>210000</v>
      </c>
      <c r="D5" s="23">
        <f>Assumptions!D22*Assumptions!D23</f>
        <v>450000</v>
      </c>
      <c r="E5" s="23">
        <f>Assumptions!E22*Assumptions!E23</f>
        <v>960000</v>
      </c>
      <c r="F5" s="23">
        <f>Assumptions!F22*Assumptions!F23</f>
        <v>1700000</v>
      </c>
      <c r="G5" s="23">
        <f>Assumptions!G22*Assumptions!G23</f>
        <v>3150000</v>
      </c>
      <c r="H5" s="16">
        <f>SUM(C5:G5)</f>
        <v>6470000</v>
      </c>
    </row>
    <row r="6" spans="1:8" x14ac:dyDescent="0.2">
      <c r="B6" s="9" t="s">
        <v>84</v>
      </c>
      <c r="C6" s="29">
        <f>Assumptions!C19+Assumptions!C22</f>
        <v>7</v>
      </c>
      <c r="D6" s="29">
        <f>Assumptions!D19+Assumptions!D22</f>
        <v>14</v>
      </c>
      <c r="E6" s="29">
        <f>Assumptions!E19+Assumptions!E22</f>
        <v>27</v>
      </c>
      <c r="F6" s="29">
        <f>Assumptions!F19+Assumptions!F22</f>
        <v>45</v>
      </c>
      <c r="G6" s="29">
        <f>Assumptions!G19+Assumptions!G22</f>
        <v>75</v>
      </c>
    </row>
    <row r="7" spans="1:8" x14ac:dyDescent="0.2">
      <c r="B7" s="21" t="s">
        <v>85</v>
      </c>
      <c r="C7" s="25">
        <f>C4+C5</f>
        <v>590000</v>
      </c>
      <c r="D7" s="25">
        <f>D4+D5</f>
        <v>1250000</v>
      </c>
      <c r="E7" s="25">
        <f>E4+E5</f>
        <v>2610000</v>
      </c>
      <c r="F7" s="25">
        <f>F4+F5</f>
        <v>4700000</v>
      </c>
      <c r="G7" s="25">
        <f>G4+G5</f>
        <v>8350000</v>
      </c>
      <c r="H7" s="25">
        <f>SUM(C7:G7)</f>
        <v>17500000</v>
      </c>
    </row>
    <row r="9" spans="1:8" x14ac:dyDescent="0.2">
      <c r="A9" s="6"/>
      <c r="B9" s="7" t="s">
        <v>86</v>
      </c>
      <c r="C9" s="6"/>
      <c r="D9" s="6"/>
      <c r="E9" s="6"/>
      <c r="F9" s="6"/>
      <c r="G9" s="6"/>
      <c r="H9" s="6"/>
    </row>
    <row r="10" spans="1:8" x14ac:dyDescent="0.2">
      <c r="B10" s="9" t="s">
        <v>87</v>
      </c>
      <c r="C10" s="31">
        <f>Assumptions!C21</f>
        <v>0.45</v>
      </c>
      <c r="D10" s="31">
        <f>Assumptions!D21</f>
        <v>0.3</v>
      </c>
      <c r="E10" s="31">
        <f>Assumptions!E21</f>
        <v>0.2</v>
      </c>
      <c r="F10" s="31">
        <f>Assumptions!F21</f>
        <v>0.15</v>
      </c>
      <c r="G10" s="31">
        <f>Assumptions!G21</f>
        <v>0.12</v>
      </c>
    </row>
    <row r="11" spans="1:8" x14ac:dyDescent="0.2">
      <c r="B11" s="21" t="s">
        <v>88</v>
      </c>
      <c r="C11" s="25">
        <f>'Revenue Model'!C20*C10</f>
        <v>168120</v>
      </c>
      <c r="D11" s="25">
        <f>'Revenue Model'!D20*D10</f>
        <v>489357</v>
      </c>
      <c r="E11" s="25">
        <f>'Revenue Model'!E20*E10</f>
        <v>1266000</v>
      </c>
      <c r="F11" s="25">
        <f>'Revenue Model'!F20*F10</f>
        <v>3756900</v>
      </c>
      <c r="G11" s="25">
        <f>'Revenue Model'!G20*G10</f>
        <v>9167994</v>
      </c>
      <c r="H11" s="25">
        <f>SUM(C11:G11)</f>
        <v>14848371</v>
      </c>
    </row>
    <row r="13" spans="1:8" x14ac:dyDescent="0.2">
      <c r="A13" s="6"/>
      <c r="B13" s="7" t="s">
        <v>89</v>
      </c>
      <c r="C13" s="6"/>
      <c r="D13" s="6"/>
      <c r="E13" s="6"/>
      <c r="F13" s="6"/>
      <c r="G13" s="6"/>
      <c r="H13" s="6"/>
    </row>
    <row r="14" spans="1:8" x14ac:dyDescent="0.2">
      <c r="B14" s="9" t="s">
        <v>90</v>
      </c>
      <c r="C14" s="32">
        <f>Assumptions!C24</f>
        <v>2.5</v>
      </c>
      <c r="D14" s="32">
        <f>Assumptions!D24</f>
        <v>2</v>
      </c>
      <c r="E14" s="32">
        <f>Assumptions!E24</f>
        <v>1.5</v>
      </c>
      <c r="F14" s="32">
        <f>Assumptions!F24</f>
        <v>1.2</v>
      </c>
      <c r="G14" s="32">
        <f>Assumptions!G24</f>
        <v>1</v>
      </c>
    </row>
    <row r="15" spans="1:8" x14ac:dyDescent="0.2">
      <c r="B15" s="21" t="s">
        <v>91</v>
      </c>
      <c r="C15" s="25">
        <f>'Revenue Model'!C4*C14</f>
        <v>50000</v>
      </c>
      <c r="D15" s="25">
        <f>'Revenue Model'!D4*D14</f>
        <v>150000</v>
      </c>
      <c r="E15" s="25">
        <f>'Revenue Model'!E4*E14</f>
        <v>375000</v>
      </c>
      <c r="F15" s="25">
        <f>'Revenue Model'!F4*F14</f>
        <v>900000</v>
      </c>
      <c r="G15" s="25">
        <f>'Revenue Model'!G4*G14</f>
        <v>2000000</v>
      </c>
      <c r="H15" s="25">
        <f>SUM(C15:G15)</f>
        <v>3475000</v>
      </c>
    </row>
    <row r="17" spans="1:8" x14ac:dyDescent="0.2">
      <c r="A17" s="6"/>
      <c r="B17" s="7" t="s">
        <v>92</v>
      </c>
      <c r="C17" s="6"/>
      <c r="D17" s="6"/>
      <c r="E17" s="6"/>
      <c r="F17" s="6"/>
      <c r="G17" s="6"/>
      <c r="H17" s="6"/>
    </row>
    <row r="18" spans="1:8" x14ac:dyDescent="0.2">
      <c r="B18" t="s">
        <v>93</v>
      </c>
      <c r="C18" s="16">
        <f t="shared" ref="C18:H18" si="0">C7</f>
        <v>590000</v>
      </c>
      <c r="D18" s="16">
        <f t="shared" si="0"/>
        <v>1250000</v>
      </c>
      <c r="E18" s="16">
        <f t="shared" si="0"/>
        <v>2610000</v>
      </c>
      <c r="F18" s="16">
        <f t="shared" si="0"/>
        <v>4700000</v>
      </c>
      <c r="G18" s="16">
        <f t="shared" si="0"/>
        <v>8350000</v>
      </c>
      <c r="H18" s="16">
        <f t="shared" si="0"/>
        <v>17500000</v>
      </c>
    </row>
    <row r="19" spans="1:8" x14ac:dyDescent="0.2">
      <c r="B19" t="s">
        <v>94</v>
      </c>
      <c r="C19" s="16">
        <f t="shared" ref="C19:H19" si="1">C11</f>
        <v>168120</v>
      </c>
      <c r="D19" s="16">
        <f t="shared" si="1"/>
        <v>489357</v>
      </c>
      <c r="E19" s="16">
        <f t="shared" si="1"/>
        <v>1266000</v>
      </c>
      <c r="F19" s="16">
        <f t="shared" si="1"/>
        <v>3756900</v>
      </c>
      <c r="G19" s="16">
        <f t="shared" si="1"/>
        <v>9167994</v>
      </c>
      <c r="H19" s="16">
        <f t="shared" si="1"/>
        <v>14848371</v>
      </c>
    </row>
    <row r="20" spans="1:8" x14ac:dyDescent="0.2">
      <c r="B20" t="s">
        <v>95</v>
      </c>
      <c r="C20" s="16">
        <f t="shared" ref="C20:H20" si="2">C15</f>
        <v>50000</v>
      </c>
      <c r="D20" s="16">
        <f t="shared" si="2"/>
        <v>150000</v>
      </c>
      <c r="E20" s="16">
        <f t="shared" si="2"/>
        <v>375000</v>
      </c>
      <c r="F20" s="16">
        <f t="shared" si="2"/>
        <v>900000</v>
      </c>
      <c r="G20" s="16">
        <f t="shared" si="2"/>
        <v>2000000</v>
      </c>
      <c r="H20" s="16">
        <f t="shared" si="2"/>
        <v>3475000</v>
      </c>
    </row>
    <row r="21" spans="1:8" x14ac:dyDescent="0.2">
      <c r="B21" s="26" t="s">
        <v>92</v>
      </c>
      <c r="C21" s="27">
        <f t="shared" ref="C21:H21" si="3">C18+C19+C20</f>
        <v>808120</v>
      </c>
      <c r="D21" s="27">
        <f t="shared" si="3"/>
        <v>1889357</v>
      </c>
      <c r="E21" s="27">
        <f t="shared" si="3"/>
        <v>4251000</v>
      </c>
      <c r="F21" s="27">
        <f t="shared" si="3"/>
        <v>9356900</v>
      </c>
      <c r="G21" s="27">
        <f t="shared" si="3"/>
        <v>19517994</v>
      </c>
      <c r="H21" s="27">
        <f t="shared" si="3"/>
        <v>35823371</v>
      </c>
    </row>
    <row r="22" spans="1:8" x14ac:dyDescent="0.2">
      <c r="B22" s="9" t="s">
        <v>96</v>
      </c>
      <c r="C22" s="31">
        <f>C21/'Revenue Model'!C20</f>
        <v>2.1630620985010705</v>
      </c>
      <c r="D22" s="31">
        <f>D21/'Revenue Model'!D20</f>
        <v>1.1582691164119447</v>
      </c>
      <c r="E22" s="31">
        <f>E21/'Revenue Model'!E20</f>
        <v>0.67156398104265402</v>
      </c>
      <c r="F22" s="31">
        <f>F21/'Revenue Model'!F20</f>
        <v>0.37358859698155394</v>
      </c>
      <c r="G22" s="31">
        <f>G21/'Revenue Model'!G20</f>
        <v>0.25547129284770476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E522-A90A-B34C-A4CC-534BF0C127C3}">
  <dimension ref="A1:H22"/>
  <sheetViews>
    <sheetView zoomScale="125" workbookViewId="0">
      <selection activeCell="B7" sqref="B7"/>
    </sheetView>
  </sheetViews>
  <sheetFormatPr baseColWidth="10" defaultColWidth="11" defaultRowHeight="16" x14ac:dyDescent="0.2"/>
  <cols>
    <col min="1" max="1" width="2.5" customWidth="1"/>
    <col min="2" max="2" width="35" customWidth="1"/>
    <col min="3" max="8" width="18.33203125" customWidth="1"/>
  </cols>
  <sheetData>
    <row r="1" spans="1:8" ht="30" customHeight="1" x14ac:dyDescent="0.25">
      <c r="A1" s="1" t="s">
        <v>97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4" t="s">
        <v>98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58</v>
      </c>
    </row>
    <row r="3" spans="1:8" x14ac:dyDescent="0.2">
      <c r="A3" s="6"/>
      <c r="B3" s="7" t="s">
        <v>99</v>
      </c>
      <c r="C3" s="6"/>
      <c r="D3" s="6"/>
      <c r="E3" s="6"/>
      <c r="F3" s="6"/>
      <c r="G3" s="6"/>
      <c r="H3" s="6"/>
    </row>
    <row r="4" spans="1:8" x14ac:dyDescent="0.2">
      <c r="B4" t="s">
        <v>71</v>
      </c>
      <c r="C4" s="33">
        <f>'Revenue Model'!C10</f>
        <v>273600</v>
      </c>
      <c r="D4" s="33">
        <f>'Revenue Model'!D10</f>
        <v>1231200</v>
      </c>
      <c r="E4" s="33">
        <f>'Revenue Model'!E10</f>
        <v>5130000</v>
      </c>
      <c r="F4" s="33">
        <f>'Revenue Model'!F10</f>
        <v>21546000</v>
      </c>
      <c r="G4" s="33">
        <f>'Revenue Model'!G10</f>
        <v>68400000</v>
      </c>
      <c r="H4" s="34">
        <f>SUM(C4:G4)</f>
        <v>96580800</v>
      </c>
    </row>
    <row r="5" spans="1:8" x14ac:dyDescent="0.2">
      <c r="B5" t="s">
        <v>72</v>
      </c>
      <c r="C5" s="33">
        <f>'Revenue Model'!C15</f>
        <v>100000</v>
      </c>
      <c r="D5" s="33">
        <f>'Revenue Model'!D15</f>
        <v>399990</v>
      </c>
      <c r="E5" s="33">
        <f>'Revenue Model'!E15</f>
        <v>1200000</v>
      </c>
      <c r="F5" s="33">
        <f>'Revenue Model'!F15</f>
        <v>3500000</v>
      </c>
      <c r="G5" s="33">
        <f>'Revenue Model'!G15</f>
        <v>7999950</v>
      </c>
      <c r="H5" s="34">
        <f>SUM(C5:G5)</f>
        <v>13199940</v>
      </c>
    </row>
    <row r="6" spans="1:8" x14ac:dyDescent="0.2">
      <c r="B6" s="21" t="s">
        <v>100</v>
      </c>
      <c r="C6" s="35">
        <f t="shared" ref="C6:H6" si="0">C4+C5</f>
        <v>373600</v>
      </c>
      <c r="D6" s="35">
        <f t="shared" si="0"/>
        <v>1631190</v>
      </c>
      <c r="E6" s="35">
        <f t="shared" si="0"/>
        <v>6330000</v>
      </c>
      <c r="F6" s="35">
        <f t="shared" si="0"/>
        <v>25046000</v>
      </c>
      <c r="G6" s="35">
        <f t="shared" si="0"/>
        <v>76399950</v>
      </c>
      <c r="H6" s="35">
        <f t="shared" si="0"/>
        <v>109780740</v>
      </c>
    </row>
    <row r="8" spans="1:8" x14ac:dyDescent="0.2">
      <c r="A8" s="6"/>
      <c r="B8" s="7" t="s">
        <v>101</v>
      </c>
      <c r="C8" s="6"/>
      <c r="D8" s="6"/>
      <c r="E8" s="6"/>
      <c r="F8" s="6"/>
      <c r="G8" s="6"/>
      <c r="H8" s="6"/>
    </row>
    <row r="9" spans="1:8" x14ac:dyDescent="0.2">
      <c r="B9" t="s">
        <v>102</v>
      </c>
      <c r="C9" s="33">
        <f>'Cost Structure'!C7</f>
        <v>590000</v>
      </c>
      <c r="D9" s="33">
        <f>'Cost Structure'!D7</f>
        <v>1250000</v>
      </c>
      <c r="E9" s="33">
        <f>'Cost Structure'!E7</f>
        <v>2610000</v>
      </c>
      <c r="F9" s="33">
        <f>'Cost Structure'!F7</f>
        <v>4700000</v>
      </c>
      <c r="G9" s="33">
        <f>'Cost Structure'!G7</f>
        <v>8350000</v>
      </c>
      <c r="H9" s="34">
        <f>SUM(C9:G9)</f>
        <v>17500000</v>
      </c>
    </row>
    <row r="10" spans="1:8" x14ac:dyDescent="0.2">
      <c r="B10" t="s">
        <v>103</v>
      </c>
      <c r="C10" s="33">
        <f>'Cost Structure'!C11</f>
        <v>168120</v>
      </c>
      <c r="D10" s="33">
        <f>'Cost Structure'!D11</f>
        <v>489357</v>
      </c>
      <c r="E10" s="33">
        <f>'Cost Structure'!E11</f>
        <v>1266000</v>
      </c>
      <c r="F10" s="33">
        <f>'Cost Structure'!F11</f>
        <v>3756900</v>
      </c>
      <c r="G10" s="33">
        <f>'Cost Structure'!G11</f>
        <v>9167994</v>
      </c>
      <c r="H10" s="34">
        <f>SUM(C10:G10)</f>
        <v>14848371</v>
      </c>
    </row>
    <row r="11" spans="1:8" x14ac:dyDescent="0.2">
      <c r="B11" t="s">
        <v>104</v>
      </c>
      <c r="C11" s="33">
        <f>'Cost Structure'!C15</f>
        <v>50000</v>
      </c>
      <c r="D11" s="33">
        <f>'Cost Structure'!D15</f>
        <v>150000</v>
      </c>
      <c r="E11" s="33">
        <f>'Cost Structure'!E15</f>
        <v>375000</v>
      </c>
      <c r="F11" s="33">
        <f>'Cost Structure'!F15</f>
        <v>900000</v>
      </c>
      <c r="G11" s="33">
        <f>'Cost Structure'!G15</f>
        <v>2000000</v>
      </c>
      <c r="H11" s="34">
        <f>SUM(C11:G11)</f>
        <v>3475000</v>
      </c>
    </row>
    <row r="12" spans="1:8" x14ac:dyDescent="0.2">
      <c r="B12" s="21" t="s">
        <v>105</v>
      </c>
      <c r="C12" s="35">
        <f t="shared" ref="C12:H12" si="1">SUM(C9:C11)</f>
        <v>808120</v>
      </c>
      <c r="D12" s="35">
        <f t="shared" si="1"/>
        <v>1889357</v>
      </c>
      <c r="E12" s="35">
        <f t="shared" si="1"/>
        <v>4251000</v>
      </c>
      <c r="F12" s="35">
        <f t="shared" si="1"/>
        <v>9356900</v>
      </c>
      <c r="G12" s="35">
        <f t="shared" si="1"/>
        <v>19517994</v>
      </c>
      <c r="H12" s="35">
        <f t="shared" si="1"/>
        <v>35823371</v>
      </c>
    </row>
    <row r="14" spans="1:8" x14ac:dyDescent="0.2">
      <c r="A14" s="6"/>
      <c r="B14" s="7" t="s">
        <v>106</v>
      </c>
      <c r="C14" s="6"/>
      <c r="D14" s="6"/>
      <c r="E14" s="6"/>
      <c r="F14" s="6"/>
      <c r="G14" s="6"/>
      <c r="H14" s="6"/>
    </row>
    <row r="15" spans="1:8" x14ac:dyDescent="0.2">
      <c r="B15" s="26" t="s">
        <v>107</v>
      </c>
      <c r="C15" s="36">
        <f t="shared" ref="C15:H15" si="2">C6-C12</f>
        <v>-434520</v>
      </c>
      <c r="D15" s="36">
        <f t="shared" si="2"/>
        <v>-258167</v>
      </c>
      <c r="E15" s="36">
        <f t="shared" si="2"/>
        <v>2079000</v>
      </c>
      <c r="F15" s="36">
        <f t="shared" si="2"/>
        <v>15689100</v>
      </c>
      <c r="G15" s="36">
        <f t="shared" si="2"/>
        <v>56881956</v>
      </c>
      <c r="H15" s="36">
        <f t="shared" si="2"/>
        <v>73957369</v>
      </c>
    </row>
    <row r="16" spans="1:8" x14ac:dyDescent="0.2">
      <c r="B16" s="9" t="s">
        <v>108</v>
      </c>
      <c r="C16" s="31">
        <f>IF(C6=0,0,C15/C6)</f>
        <v>-1.1630620985010707</v>
      </c>
      <c r="D16" s="31">
        <f>IF(D6=0,0,D15/D6)</f>
        <v>-0.15826911641194466</v>
      </c>
      <c r="E16" s="31">
        <f>IF(E6=0,0,E15/E6)</f>
        <v>0.32843601895734598</v>
      </c>
      <c r="F16" s="31">
        <f>IF(F6=0,0,F15/F6)</f>
        <v>0.62641140301844611</v>
      </c>
      <c r="G16" s="31">
        <f>IF(G6=0,0,G15/G6)</f>
        <v>0.74452870715229524</v>
      </c>
    </row>
    <row r="18" spans="2:8" x14ac:dyDescent="0.2">
      <c r="B18" s="9" t="s">
        <v>52</v>
      </c>
      <c r="C18" s="31">
        <f>Assumptions!C30</f>
        <v>0</v>
      </c>
      <c r="D18" s="31">
        <f>Assumptions!D30</f>
        <v>0</v>
      </c>
      <c r="E18" s="31">
        <f>Assumptions!E30</f>
        <v>0.15</v>
      </c>
      <c r="F18" s="31">
        <f>Assumptions!F30</f>
        <v>0.21</v>
      </c>
      <c r="G18" s="31">
        <f>Assumptions!G30</f>
        <v>0.21</v>
      </c>
    </row>
    <row r="19" spans="2:8" ht="17" thickBot="1" x14ac:dyDescent="0.25">
      <c r="B19" t="s">
        <v>109</v>
      </c>
      <c r="C19" s="34">
        <f>IF(C15&gt;0,C15*C18,0)</f>
        <v>0</v>
      </c>
      <c r="D19" s="34">
        <f>IF(D15&gt;0,D15*D18,0)</f>
        <v>0</v>
      </c>
      <c r="E19" s="34">
        <f>IF(E15&gt;0,E15*E18,0)</f>
        <v>311850</v>
      </c>
      <c r="F19" s="34">
        <f>IF(F15&gt;0,F15*F18,0)</f>
        <v>3294711</v>
      </c>
      <c r="G19" s="34">
        <f>IF(G15&gt;0,G15*G18,0)</f>
        <v>11945210.76</v>
      </c>
      <c r="H19" s="34">
        <f>SUM(C19:G19)</f>
        <v>15551771.76</v>
      </c>
    </row>
    <row r="20" spans="2:8" x14ac:dyDescent="0.2">
      <c r="B20" s="21" t="s">
        <v>110</v>
      </c>
      <c r="C20" s="37">
        <f t="shared" ref="C20:H20" si="3">C15-C19</f>
        <v>-434520</v>
      </c>
      <c r="D20" s="37">
        <f t="shared" si="3"/>
        <v>-258167</v>
      </c>
      <c r="E20" s="37">
        <f t="shared" si="3"/>
        <v>1767150</v>
      </c>
      <c r="F20" s="37">
        <f t="shared" si="3"/>
        <v>12394389</v>
      </c>
      <c r="G20" s="37">
        <f t="shared" si="3"/>
        <v>44936745.240000002</v>
      </c>
      <c r="H20" s="37">
        <f t="shared" si="3"/>
        <v>58405597.240000002</v>
      </c>
    </row>
    <row r="21" spans="2:8" x14ac:dyDescent="0.2">
      <c r="B21" s="9" t="s">
        <v>111</v>
      </c>
      <c r="C21" s="31">
        <f>IF(C6=0,0,C20/C6)</f>
        <v>-1.1630620985010707</v>
      </c>
      <c r="D21" s="31">
        <f>IF(D6=0,0,D20/D6)</f>
        <v>-0.15826911641194466</v>
      </c>
      <c r="E21" s="31">
        <f>IF(E6=0,0,E20/E6)</f>
        <v>0.27917061611374405</v>
      </c>
      <c r="F21" s="31">
        <f>IF(F6=0,0,F20/F6)</f>
        <v>0.49486500838457237</v>
      </c>
      <c r="G21" s="31">
        <f>IF(G6=0,0,G20/G6)</f>
        <v>0.58817767865031323</v>
      </c>
    </row>
    <row r="22" spans="2:8" x14ac:dyDescent="0.2">
      <c r="B22" s="9" t="s">
        <v>112</v>
      </c>
      <c r="C22" s="38">
        <f>C20</f>
        <v>-434520</v>
      </c>
      <c r="D22" s="38">
        <f>C22+D20</f>
        <v>-692687</v>
      </c>
      <c r="E22" s="38">
        <f>D22+E20</f>
        <v>1074463</v>
      </c>
      <c r="F22" s="38">
        <f>E22+F20</f>
        <v>13468852</v>
      </c>
      <c r="G22" s="38">
        <f>F22+G20</f>
        <v>58405597.240000002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7F1A-7B26-8C40-97F5-A14D8E069AFA}">
  <dimension ref="A1:H23"/>
  <sheetViews>
    <sheetView tabSelected="1" workbookViewId="0"/>
  </sheetViews>
  <sheetFormatPr baseColWidth="10" defaultColWidth="11" defaultRowHeight="16" x14ac:dyDescent="0.2"/>
  <sheetData>
    <row r="1" spans="1:8" ht="30" customHeight="1" x14ac:dyDescent="0.25">
      <c r="A1" s="1" t="s">
        <v>113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4" t="s">
        <v>114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8" x14ac:dyDescent="0.2">
      <c r="A3" s="6"/>
      <c r="B3" s="7" t="s">
        <v>115</v>
      </c>
      <c r="C3" s="6"/>
      <c r="D3" s="6"/>
      <c r="E3" s="6"/>
      <c r="F3" s="6"/>
      <c r="G3" s="6"/>
    </row>
    <row r="4" spans="1:8" x14ac:dyDescent="0.2">
      <c r="B4" t="s">
        <v>116</v>
      </c>
      <c r="C4" s="19">
        <f>Assumptions!C4</f>
        <v>20000</v>
      </c>
      <c r="D4" s="13">
        <f>Assumptions!D4-Assumptions!C4</f>
        <v>55000</v>
      </c>
      <c r="E4" s="13">
        <f>Assumptions!E4-Assumptions!D4</f>
        <v>175000</v>
      </c>
      <c r="F4" s="13">
        <f>Assumptions!F4-Assumptions!E4</f>
        <v>500000</v>
      </c>
      <c r="G4" s="13">
        <f>Assumptions!G4-Assumptions!F4</f>
        <v>1250000</v>
      </c>
    </row>
    <row r="5" spans="1:8" x14ac:dyDescent="0.2">
      <c r="B5" t="s">
        <v>117</v>
      </c>
      <c r="C5" s="39">
        <f>Assumptions!C25</f>
        <v>8</v>
      </c>
      <c r="D5" s="39">
        <f>Assumptions!D25</f>
        <v>6</v>
      </c>
      <c r="E5" s="39">
        <f>Assumptions!E25</f>
        <v>4.5</v>
      </c>
      <c r="F5" s="39">
        <f>Assumptions!F25</f>
        <v>3.5</v>
      </c>
      <c r="G5" s="39">
        <f>Assumptions!G25</f>
        <v>3</v>
      </c>
    </row>
    <row r="6" spans="1:8" x14ac:dyDescent="0.2">
      <c r="B6" t="s">
        <v>118</v>
      </c>
      <c r="C6" s="16">
        <f>C4*C5</f>
        <v>160000</v>
      </c>
      <c r="D6" s="16">
        <f>D4*D5</f>
        <v>330000</v>
      </c>
      <c r="E6" s="16">
        <f>E4*E5</f>
        <v>787500</v>
      </c>
      <c r="F6" s="16">
        <f>F4*F5</f>
        <v>1750000</v>
      </c>
      <c r="G6" s="16">
        <f>G4*G5</f>
        <v>3750000</v>
      </c>
    </row>
    <row r="8" spans="1:8" x14ac:dyDescent="0.2">
      <c r="A8" s="6"/>
      <c r="B8" s="7" t="s">
        <v>119</v>
      </c>
      <c r="C8" s="6"/>
      <c r="D8" s="6"/>
      <c r="E8" s="6"/>
      <c r="F8" s="6"/>
      <c r="G8" s="6"/>
    </row>
    <row r="9" spans="1:8" x14ac:dyDescent="0.2">
      <c r="B9" t="s">
        <v>120</v>
      </c>
      <c r="C9" s="39">
        <f>'Revenue Model'!C26</f>
        <v>18.68</v>
      </c>
      <c r="D9" s="39">
        <f>'Revenue Model'!D26</f>
        <v>21.749199999999998</v>
      </c>
      <c r="E9" s="39">
        <f>'Revenue Model'!E26</f>
        <v>25.32</v>
      </c>
      <c r="F9" s="39">
        <f>'Revenue Model'!F26</f>
        <v>33.394666666666666</v>
      </c>
      <c r="G9" s="39">
        <f>'Revenue Model'!G26</f>
        <v>38.199975000000002</v>
      </c>
    </row>
    <row r="10" spans="1:8" x14ac:dyDescent="0.2">
      <c r="B10" t="s">
        <v>121</v>
      </c>
      <c r="C10" s="20">
        <f>Assumptions!C8</f>
        <v>0.05</v>
      </c>
      <c r="D10" s="20">
        <f>Assumptions!D8</f>
        <v>0.05</v>
      </c>
      <c r="E10" s="20">
        <f>Assumptions!E8</f>
        <v>0.05</v>
      </c>
      <c r="F10" s="20">
        <f>Assumptions!F8</f>
        <v>0.05</v>
      </c>
      <c r="G10" s="20">
        <f>Assumptions!G8</f>
        <v>0.05</v>
      </c>
    </row>
    <row r="11" spans="1:8" x14ac:dyDescent="0.2">
      <c r="B11" t="s">
        <v>122</v>
      </c>
      <c r="C11" s="40">
        <f>1/C10</f>
        <v>20</v>
      </c>
      <c r="D11" s="40">
        <f>1/D10</f>
        <v>20</v>
      </c>
      <c r="E11" s="40">
        <f>1/E10</f>
        <v>20</v>
      </c>
      <c r="F11" s="40">
        <f>1/F10</f>
        <v>20</v>
      </c>
      <c r="G11" s="40">
        <f>1/G10</f>
        <v>20</v>
      </c>
    </row>
    <row r="12" spans="1:8" x14ac:dyDescent="0.2">
      <c r="B12" s="26" t="s">
        <v>123</v>
      </c>
      <c r="C12" s="41">
        <f>C9*C11</f>
        <v>373.6</v>
      </c>
      <c r="D12" s="41">
        <f>D9*D11</f>
        <v>434.98399999999998</v>
      </c>
      <c r="E12" s="41">
        <f>E9*E11</f>
        <v>506.4</v>
      </c>
      <c r="F12" s="41">
        <f>F9*F11</f>
        <v>667.89333333333332</v>
      </c>
      <c r="G12" s="41">
        <f>G9*G11</f>
        <v>763.99950000000001</v>
      </c>
    </row>
    <row r="14" spans="1:8" x14ac:dyDescent="0.2">
      <c r="A14" s="6"/>
      <c r="B14" s="7" t="s">
        <v>124</v>
      </c>
      <c r="C14" s="6"/>
      <c r="D14" s="6"/>
      <c r="E14" s="6"/>
      <c r="F14" s="6"/>
      <c r="G14" s="6"/>
    </row>
    <row r="15" spans="1:8" x14ac:dyDescent="0.2">
      <c r="B15" s="26" t="s">
        <v>125</v>
      </c>
      <c r="C15" s="42">
        <f>C12/C5</f>
        <v>46.7</v>
      </c>
      <c r="D15" s="42">
        <f>D12/D5</f>
        <v>72.49733333333333</v>
      </c>
      <c r="E15" s="42">
        <f>E12/E5</f>
        <v>112.53333333333333</v>
      </c>
      <c r="F15" s="42">
        <f>F12/F5</f>
        <v>190.82666666666665</v>
      </c>
      <c r="G15" s="42">
        <f>G12/G5</f>
        <v>254.66650000000001</v>
      </c>
    </row>
    <row r="16" spans="1:8" x14ac:dyDescent="0.2">
      <c r="B16" s="9" t="s">
        <v>126</v>
      </c>
      <c r="C16" s="30" t="str">
        <f>IF(C15&gt;=3,"Healthy","Below Target")</f>
        <v>Healthy</v>
      </c>
      <c r="D16" s="30" t="str">
        <f>IF(D15&gt;=3,"Healthy","Below Target")</f>
        <v>Healthy</v>
      </c>
      <c r="E16" s="30" t="str">
        <f>IF(E15&gt;=3,"Healthy","Below Target")</f>
        <v>Healthy</v>
      </c>
      <c r="F16" s="30" t="str">
        <f>IF(F15&gt;=3,"Healthy","Below Target")</f>
        <v>Healthy</v>
      </c>
      <c r="G16" s="30" t="str">
        <f>IF(G15&gt;=3,"Healthy","Below Target")</f>
        <v>Healthy</v>
      </c>
    </row>
    <row r="17" spans="1:7" x14ac:dyDescent="0.2">
      <c r="B17" t="s">
        <v>127</v>
      </c>
      <c r="C17" s="40">
        <f>C5/(C9/12)</f>
        <v>5.1391862955032117</v>
      </c>
      <c r="D17" s="40">
        <f>D5/(D9/12)</f>
        <v>3.3104665918746439</v>
      </c>
      <c r="E17" s="40">
        <f>E5/(E9/12)</f>
        <v>2.1327014218009479</v>
      </c>
      <c r="F17" s="40">
        <f>F5/(F9/12)</f>
        <v>1.2576858580212409</v>
      </c>
      <c r="G17" s="40">
        <f>G5/(G9/12)</f>
        <v>0.94240899372316334</v>
      </c>
    </row>
    <row r="19" spans="1:7" x14ac:dyDescent="0.2">
      <c r="A19" s="6"/>
      <c r="B19" s="7" t="s">
        <v>128</v>
      </c>
      <c r="C19" s="6"/>
      <c r="D19" s="6"/>
      <c r="E19" s="6"/>
      <c r="F19" s="6"/>
      <c r="G19" s="6"/>
    </row>
    <row r="20" spans="1:7" x14ac:dyDescent="0.2">
      <c r="B20" t="s">
        <v>129</v>
      </c>
      <c r="C20" s="28">
        <f>C9</f>
        <v>18.68</v>
      </c>
      <c r="D20" s="28">
        <f>D9</f>
        <v>21.749199999999998</v>
      </c>
      <c r="E20" s="28">
        <f>E9</f>
        <v>25.32</v>
      </c>
      <c r="F20" s="28">
        <f>F9</f>
        <v>33.394666666666666</v>
      </c>
      <c r="G20" s="28">
        <f>G9</f>
        <v>38.199975000000002</v>
      </c>
    </row>
    <row r="21" spans="1:7" x14ac:dyDescent="0.2">
      <c r="B21" t="s">
        <v>130</v>
      </c>
      <c r="C21" s="28">
        <f>'Cost Structure'!C21/Assumptions!C4</f>
        <v>40.405999999999999</v>
      </c>
      <c r="D21" s="28">
        <f>'Cost Structure'!D21/Assumptions!D4</f>
        <v>25.191426666666668</v>
      </c>
      <c r="E21" s="28">
        <f>'Cost Structure'!E21/Assumptions!E4</f>
        <v>17.004000000000001</v>
      </c>
      <c r="F21" s="28">
        <f>'Cost Structure'!F21/Assumptions!F4</f>
        <v>12.475866666666667</v>
      </c>
      <c r="G21" s="28">
        <f>'Cost Structure'!G21/Assumptions!G4</f>
        <v>9.7589970000000008</v>
      </c>
    </row>
    <row r="22" spans="1:7" x14ac:dyDescent="0.2">
      <c r="B22" s="21" t="s">
        <v>131</v>
      </c>
      <c r="C22" s="43">
        <f>C20-C21</f>
        <v>-21.725999999999999</v>
      </c>
      <c r="D22" s="43">
        <f>D20-D21</f>
        <v>-3.4422266666666701</v>
      </c>
      <c r="E22" s="43">
        <f>E20-E21</f>
        <v>8.3159999999999989</v>
      </c>
      <c r="F22" s="43">
        <f>F20-F21</f>
        <v>20.918799999999997</v>
      </c>
      <c r="G22" s="43">
        <f>G20-G21</f>
        <v>28.440978000000001</v>
      </c>
    </row>
    <row r="23" spans="1:7" x14ac:dyDescent="0.2">
      <c r="B23" s="9" t="s">
        <v>132</v>
      </c>
      <c r="C23" s="31">
        <f>C22/C20</f>
        <v>-1.1630620985010707</v>
      </c>
      <c r="D23" s="31">
        <f>D22/D20</f>
        <v>-0.15826911641194483</v>
      </c>
      <c r="E23" s="31">
        <f>E22/E20</f>
        <v>0.32843601895734592</v>
      </c>
      <c r="F23" s="31">
        <f>F22/F20</f>
        <v>0.626411403018446</v>
      </c>
      <c r="G23" s="31">
        <f>G22/G20</f>
        <v>0.74452870715229524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63ba2d-81b4-4e10-9ae5-0b5e27da92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4F727EB8378A4BABDE23C7578CED84" ma:contentTypeVersion="5" ma:contentTypeDescription="Create a new document." ma:contentTypeScope="" ma:versionID="cb5a575243c9e6bec11b512c85888645">
  <xsd:schema xmlns:xsd="http://www.w3.org/2001/XMLSchema" xmlns:xs="http://www.w3.org/2001/XMLSchema" xmlns:p="http://schemas.microsoft.com/office/2006/metadata/properties" xmlns:ns3="6063ba2d-81b4-4e10-9ae5-0b5e27da92a1" targetNamespace="http://schemas.microsoft.com/office/2006/metadata/properties" ma:root="true" ma:fieldsID="70a1fc1b9f98310c7d01dcb90c046ebd" ns3:_="">
    <xsd:import namespace="6063ba2d-81b4-4e10-9ae5-0b5e27da92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ba2d-81b4-4e10-9ae5-0b5e27da92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7BF44-9710-41B3-90A7-0561240CB1B4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6063ba2d-81b4-4e10-9ae5-0b5e27da92a1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A46F24-08B9-44AF-9DAD-5DD34DE07E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DBA0E4-D8BC-4379-92F4-A3BCB4538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ba2d-81b4-4e10-9ae5-0b5e27da9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 Model</vt:lpstr>
      <vt:lpstr>Cost Structure</vt:lpstr>
      <vt:lpstr>P&amp;L</vt:lpstr>
      <vt:lpstr>Unit Economics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Zhang</dc:creator>
  <cp:keywords/>
  <dc:description/>
  <cp:lastModifiedBy>Zhang,Will</cp:lastModifiedBy>
  <cp:revision/>
  <cp:lastPrinted>2026-02-16T22:46:17Z</cp:lastPrinted>
  <dcterms:created xsi:type="dcterms:W3CDTF">2026-02-13T16:45:27Z</dcterms:created>
  <dcterms:modified xsi:type="dcterms:W3CDTF">2026-03-05T23:03:16Z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0x010100EA4F727EB8378A4BABDE23C7578CED84</vt:lpwstr>
  </property>
</Properties>
</file>