
<file path=[Content_Types].xml><?xml version="1.0" encoding="utf-8"?>
<Types xmlns="http://schemas.openxmlformats.org/package/2006/content-types">
  <Default Extension="bin" ContentType="application/vnd.openxmlformats-officedocument.spreadsheetml.customProperty"/>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7"/>
  <workbookPr codeName="ThisWorkbook"/>
  <mc:AlternateContent xmlns:mc="http://schemas.openxmlformats.org/markup-compatibility/2006">
    <mc:Choice Requires="x15">
      <x15ac:absPath xmlns:x15ac="http://schemas.microsoft.com/office/spreadsheetml/2010/11/ac" url="https://jnj.sharepoint.com/teams/FinanceUCC/Shared Documents/General/2026 UCC/Core Team/Case Resources/Excel/"/>
    </mc:Choice>
  </mc:AlternateContent>
  <xr:revisionPtr revIDLastSave="350" documentId="13_ncr:1_{E5D5D8FB-D237-4DDC-A1B0-150F74AAAF1E}" xr6:coauthVersionLast="47" xr6:coauthVersionMax="47" xr10:uidLastSave="{8696E069-D8FE-4914-A068-D0C0D99832F1}"/>
  <bookViews>
    <workbookView xWindow="14085" yWindow="-16320" windowWidth="29040" windowHeight="15720" tabRatio="732" firstSheet="1" activeTab="3" xr2:uid="{26150EBC-E048-42C3-B784-70CE7F49AEA2}"/>
  </bookViews>
  <sheets>
    <sheet name="Instructions" sheetId="13" r:id="rId1"/>
    <sheet name="Decision Points" sheetId="15" r:id="rId2"/>
    <sheet name="Income Statement" sheetId="1" r:id="rId3"/>
    <sheet name="Statement of Cash Flows" sheetId="14" r:id="rId4"/>
    <sheet name="Financial Highlights" sheetId="3" r:id="rId5"/>
    <sheet name="Sandbox" sheetId="16" r:id="rId6"/>
    <sheet name="BACKEND --&gt;" sheetId="17" state="veryHidden" r:id="rId7"/>
    <sheet name="Levers" sheetId="9" state="veryHidden" r:id="rId8"/>
    <sheet name="Supply Chain &amp; Human Capital" sheetId="11" state="veryHidden" r:id="rId9"/>
    <sheet name="Feedback" sheetId="12" state="veryHidden" r:id="rId10"/>
  </sheets>
  <definedNames>
    <definedName name="Human_capital">Levers!$B$9:$D$9</definedName>
    <definedName name="Marketing">Levers!$B$7:$E$7</definedName>
    <definedName name="Pricing_Strategy">Levers!$B$6:$E$6</definedName>
    <definedName name="R_D_Strategy">Levers!$B$3:$F$3</definedName>
    <definedName name="Spiral">Levers!$B$5:$D$5</definedName>
    <definedName name="Supply_Chain">Levers!$B$8:$E$8</definedName>
    <definedName name="symmetrical">Levers!$B$4:$D$4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a="1"/>
  <c r="D12" i="1" s="1"/>
  <c r="D10" i="1" s="1"/>
  <c r="G8" i="1" a="1"/>
  <c r="G8" i="1" s="1"/>
  <c r="F8" i="1" a="1"/>
  <c r="F8" i="1" s="1"/>
  <c r="E8" i="1" a="1"/>
  <c r="E8" i="1" s="1"/>
  <c r="E29" i="9"/>
  <c r="E35" i="9"/>
  <c r="D8" i="1" a="1"/>
  <c r="D8" i="1" s="1"/>
  <c r="H8" i="1" a="1"/>
  <c r="H8" i="1" s="1"/>
  <c r="M19" i="1"/>
  <c r="M17" i="1" s="1"/>
  <c r="L19" i="1"/>
  <c r="L17" i="1" s="1"/>
  <c r="K19" i="1"/>
  <c r="K17" i="1" s="1"/>
  <c r="J19" i="1"/>
  <c r="J17" i="1" s="1"/>
  <c r="I19" i="1"/>
  <c r="I17" i="1" s="1"/>
  <c r="H19" i="1"/>
  <c r="H17" i="1" s="1"/>
  <c r="G19" i="1"/>
  <c r="G17" i="1" s="1"/>
  <c r="F19" i="1"/>
  <c r="F17" i="1" s="1"/>
  <c r="E19" i="1"/>
  <c r="E17" i="1" s="1"/>
  <c r="D19" i="1"/>
  <c r="D17" i="1" s="1"/>
  <c r="C7" i="1"/>
  <c r="C28" i="1"/>
  <c r="G9" i="3"/>
  <c r="G10" i="3"/>
  <c r="G11" i="3"/>
  <c r="G12" i="3"/>
  <c r="G13" i="3"/>
  <c r="G14" i="3"/>
  <c r="C5" i="15"/>
  <c r="G8" i="3" s="1"/>
  <c r="E28" i="1"/>
  <c r="F28" i="1"/>
  <c r="G28" i="1"/>
  <c r="H28" i="1"/>
  <c r="I28" i="1"/>
  <c r="J28" i="1"/>
  <c r="K28" i="1"/>
  <c r="L28" i="1"/>
  <c r="M28" i="1"/>
  <c r="D28" i="1"/>
  <c r="D23" i="1"/>
  <c r="D21" i="1" s="1"/>
  <c r="C17" i="1"/>
  <c r="C18" i="1" s="1"/>
  <c r="C66" i="9"/>
  <c r="K8" i="1" a="1"/>
  <c r="K8" i="1" s="1"/>
  <c r="D14" i="9"/>
  <c r="D13" i="9"/>
  <c r="M12" i="1" a="1"/>
  <c r="M12" i="1" s="1"/>
  <c r="M10" i="1" s="1"/>
  <c r="L12" i="1" a="1"/>
  <c r="L12" i="1" s="1"/>
  <c r="L10" i="1" s="1"/>
  <c r="K12" i="1" a="1"/>
  <c r="K12" i="1" s="1"/>
  <c r="K10" i="1" s="1"/>
  <c r="J12" i="1" a="1"/>
  <c r="J12" i="1" s="1"/>
  <c r="J10" i="1" s="1"/>
  <c r="I12" i="1" a="1"/>
  <c r="I12" i="1" s="1"/>
  <c r="I10" i="1" s="1"/>
  <c r="H12" i="1" a="1"/>
  <c r="H12" i="1" s="1"/>
  <c r="H10" i="1" s="1"/>
  <c r="G12" i="1" a="1"/>
  <c r="G12" i="1" s="1"/>
  <c r="G10" i="1" s="1"/>
  <c r="F12" i="1" a="1"/>
  <c r="F12" i="1" s="1"/>
  <c r="F10" i="1" s="1"/>
  <c r="E12" i="1" a="1"/>
  <c r="E12" i="1" s="1"/>
  <c r="E10" i="1" s="1"/>
  <c r="D15" i="9"/>
  <c r="D25" i="1" l="1"/>
  <c r="I17" i="11"/>
  <c r="H17" i="11"/>
  <c r="H16" i="11"/>
  <c r="M8" i="1" a="1"/>
  <c r="M8" i="1" s="1"/>
  <c r="L8" i="1" a="1"/>
  <c r="L8" i="1" s="1"/>
  <c r="J8" i="1" a="1"/>
  <c r="J8" i="1" s="1"/>
  <c r="I8" i="1" a="1"/>
  <c r="I8" i="1" s="1"/>
  <c r="V8" i="11"/>
  <c r="U8" i="11"/>
  <c r="AD7" i="11"/>
  <c r="AC7" i="11"/>
  <c r="AB7" i="11"/>
  <c r="AA7" i="11"/>
  <c r="Z7" i="11"/>
  <c r="Y7" i="11"/>
  <c r="X7" i="11"/>
  <c r="W7" i="11"/>
  <c r="V7" i="11"/>
  <c r="U7" i="11"/>
  <c r="C21" i="1"/>
  <c r="E23" i="1"/>
  <c r="F23" i="1"/>
  <c r="G23" i="1"/>
  <c r="G21" i="1" s="1"/>
  <c r="H23" i="1"/>
  <c r="H21" i="1" s="1"/>
  <c r="I23" i="1"/>
  <c r="I21" i="1" s="1"/>
  <c r="J23" i="1"/>
  <c r="J21" i="1" s="1"/>
  <c r="K23" i="1"/>
  <c r="K21" i="1" s="1"/>
  <c r="L23" i="1"/>
  <c r="L21" i="1" s="1"/>
  <c r="M23" i="1"/>
  <c r="M21" i="1" s="1"/>
  <c r="J17" i="11"/>
  <c r="E21" i="1" l="1"/>
  <c r="F21" i="1"/>
  <c r="C22" i="1"/>
  <c r="C25" i="1"/>
  <c r="C10" i="1"/>
  <c r="N17" i="1"/>
  <c r="D7" i="1"/>
  <c r="D11" i="1" s="1"/>
  <c r="I16" i="11"/>
  <c r="Q8" i="11"/>
  <c r="P8" i="11"/>
  <c r="O8" i="11"/>
  <c r="N8" i="11"/>
  <c r="M8" i="11"/>
  <c r="L8" i="11"/>
  <c r="K8" i="11"/>
  <c r="J8" i="11"/>
  <c r="I8" i="11"/>
  <c r="Q7" i="11"/>
  <c r="P7" i="11"/>
  <c r="O7" i="11"/>
  <c r="N7" i="11"/>
  <c r="M7" i="11"/>
  <c r="L7" i="11"/>
  <c r="K7" i="11"/>
  <c r="J7" i="11"/>
  <c r="I7" i="11"/>
  <c r="H7" i="11"/>
  <c r="H8" i="11"/>
  <c r="C26" i="1" l="1"/>
  <c r="D31" i="1"/>
  <c r="D22" i="1"/>
  <c r="C11" i="1"/>
  <c r="C14" i="1"/>
  <c r="D18" i="1"/>
  <c r="D14" i="1"/>
  <c r="E7" i="1"/>
  <c r="E11" i="1" s="1"/>
  <c r="C15" i="1" l="1"/>
  <c r="D15" i="1"/>
  <c r="E18" i="1"/>
  <c r="E22" i="1"/>
  <c r="E14" i="1"/>
  <c r="C31" i="1"/>
  <c r="C34" i="1" s="1"/>
  <c r="F7" i="1"/>
  <c r="G7" i="1" s="1"/>
  <c r="E15" i="1" l="1"/>
  <c r="D34" i="1"/>
  <c r="D37" i="1" s="1"/>
  <c r="D26" i="1"/>
  <c r="F22" i="1"/>
  <c r="F11" i="1"/>
  <c r="C32" i="1"/>
  <c r="F14" i="1"/>
  <c r="F18" i="1"/>
  <c r="E25" i="1"/>
  <c r="C37" i="1"/>
  <c r="C38" i="1" s="1"/>
  <c r="E26" i="1" l="1"/>
  <c r="D32" i="1"/>
  <c r="D6" i="14"/>
  <c r="F15" i="1"/>
  <c r="G22" i="1"/>
  <c r="G11" i="1"/>
  <c r="G14" i="1"/>
  <c r="G18" i="1"/>
  <c r="F25" i="1"/>
  <c r="E31" i="1"/>
  <c r="E32" i="1" s="1"/>
  <c r="H7" i="1"/>
  <c r="C6" i="14"/>
  <c r="C8" i="14" s="1"/>
  <c r="D8" i="14" l="1" a="1"/>
  <c r="D8" i="14" s="1"/>
  <c r="D10" i="14"/>
  <c r="G15" i="1"/>
  <c r="D15" i="14"/>
  <c r="D38" i="1"/>
  <c r="D16" i="14"/>
  <c r="D14" i="14"/>
  <c r="F31" i="1"/>
  <c r="F32" i="1" s="1"/>
  <c r="F26" i="1"/>
  <c r="H22" i="1"/>
  <c r="H11" i="1"/>
  <c r="C16" i="14"/>
  <c r="C10" i="14"/>
  <c r="C15" i="14"/>
  <c r="C14" i="14"/>
  <c r="H14" i="1"/>
  <c r="H18" i="1"/>
  <c r="G25" i="1"/>
  <c r="I7" i="1"/>
  <c r="E34" i="1"/>
  <c r="G26" i="1" l="1"/>
  <c r="H15" i="1"/>
  <c r="D18" i="14"/>
  <c r="F34" i="1"/>
  <c r="F37" i="1" s="1"/>
  <c r="F6" i="14" s="1"/>
  <c r="F8" i="14" s="1" a="1"/>
  <c r="F8" i="14" s="1"/>
  <c r="I22" i="1"/>
  <c r="I11" i="1"/>
  <c r="C18" i="14"/>
  <c r="C19" i="14" s="1"/>
  <c r="C21" i="14" s="1"/>
  <c r="C26" i="14" s="1"/>
  <c r="I14" i="1"/>
  <c r="I18" i="1"/>
  <c r="J7" i="1"/>
  <c r="E37" i="1"/>
  <c r="E6" i="14" s="1"/>
  <c r="E8" i="14" s="1" a="1"/>
  <c r="E8" i="14" s="1"/>
  <c r="H25" i="1"/>
  <c r="G31" i="1"/>
  <c r="G32" i="1" s="1"/>
  <c r="D19" i="14" l="1"/>
  <c r="I15" i="1"/>
  <c r="F10" i="14"/>
  <c r="F14" i="14"/>
  <c r="F38" i="1"/>
  <c r="F15" i="14"/>
  <c r="F16" i="14"/>
  <c r="H31" i="1"/>
  <c r="H32" i="1" s="1"/>
  <c r="H26" i="1"/>
  <c r="J22" i="1"/>
  <c r="J11" i="1"/>
  <c r="D21" i="14"/>
  <c r="D26" i="14" s="1"/>
  <c r="E16" i="14"/>
  <c r="E15" i="14"/>
  <c r="E14" i="14"/>
  <c r="E10" i="14"/>
  <c r="J14" i="1"/>
  <c r="J18" i="1"/>
  <c r="I25" i="1"/>
  <c r="G34" i="1"/>
  <c r="G37" i="1" s="1"/>
  <c r="G6" i="14" s="1"/>
  <c r="G8" i="14" s="1" a="1"/>
  <c r="G8" i="14" s="1"/>
  <c r="E38" i="1"/>
  <c r="K7" i="1"/>
  <c r="J15" i="1" l="1"/>
  <c r="F18" i="14"/>
  <c r="H34" i="1"/>
  <c r="H37" i="1" s="1"/>
  <c r="H6" i="14" s="1"/>
  <c r="I31" i="1"/>
  <c r="I34" i="1" s="1"/>
  <c r="I37" i="1" s="1"/>
  <c r="I6" i="14" s="1"/>
  <c r="I26" i="1"/>
  <c r="K22" i="1"/>
  <c r="K11" i="1"/>
  <c r="E18" i="14"/>
  <c r="G16" i="14"/>
  <c r="G15" i="14"/>
  <c r="G14" i="14"/>
  <c r="G10" i="14"/>
  <c r="K14" i="1"/>
  <c r="K18" i="1"/>
  <c r="J25" i="1"/>
  <c r="L7" i="1"/>
  <c r="G38" i="1"/>
  <c r="H16" i="14" l="1"/>
  <c r="H8" i="14" a="1"/>
  <c r="H8" i="14" s="1"/>
  <c r="I16" i="14"/>
  <c r="I8" i="14" a="1"/>
  <c r="I8" i="14" s="1"/>
  <c r="K15" i="1"/>
  <c r="F19" i="14"/>
  <c r="F21" i="14" s="1"/>
  <c r="F26" i="14" s="1"/>
  <c r="H10" i="14"/>
  <c r="H38" i="1"/>
  <c r="H14" i="14"/>
  <c r="H15" i="14"/>
  <c r="I32" i="1"/>
  <c r="J31" i="1"/>
  <c r="J32" i="1" s="1"/>
  <c r="J26" i="1"/>
  <c r="L22" i="1"/>
  <c r="L11" i="1"/>
  <c r="I38" i="1"/>
  <c r="I10" i="14"/>
  <c r="I14" i="14"/>
  <c r="I15" i="14"/>
  <c r="G18" i="14"/>
  <c r="G19" i="14" s="1"/>
  <c r="G21" i="14" s="1"/>
  <c r="G26" i="14" s="1"/>
  <c r="E19" i="14"/>
  <c r="L14" i="1"/>
  <c r="L18" i="1"/>
  <c r="K25" i="1"/>
  <c r="M7" i="1"/>
  <c r="C8" i="3" s="1"/>
  <c r="L15" i="1" l="1"/>
  <c r="H18" i="14"/>
  <c r="H19" i="14" s="1"/>
  <c r="H21" i="14" s="1"/>
  <c r="H26" i="14" s="1"/>
  <c r="J34" i="1"/>
  <c r="J37" i="1" s="1"/>
  <c r="J6" i="14" s="1"/>
  <c r="K31" i="1"/>
  <c r="K34" i="1" s="1"/>
  <c r="K37" i="1" s="1"/>
  <c r="K6" i="14" s="1"/>
  <c r="K8" i="14" s="1" a="1"/>
  <c r="K8" i="14" s="1"/>
  <c r="K26" i="1"/>
  <c r="M22" i="1"/>
  <c r="M11" i="1"/>
  <c r="I18" i="14"/>
  <c r="E21" i="14"/>
  <c r="E26" i="14" s="1"/>
  <c r="M14" i="1"/>
  <c r="M18" i="1"/>
  <c r="N28" i="1"/>
  <c r="N10" i="1"/>
  <c r="N7" i="1"/>
  <c r="L25" i="1"/>
  <c r="J10" i="14" l="1"/>
  <c r="J8" i="14" a="1"/>
  <c r="J8" i="14" s="1"/>
  <c r="C10" i="3"/>
  <c r="I19" i="14"/>
  <c r="I21" i="14" s="1"/>
  <c r="I26" i="14" s="1"/>
  <c r="J15" i="14"/>
  <c r="J14" i="14"/>
  <c r="J16" i="14"/>
  <c r="J38" i="1"/>
  <c r="K32" i="1"/>
  <c r="L31" i="1"/>
  <c r="L32" i="1" s="1"/>
  <c r="L26" i="1"/>
  <c r="M15" i="1"/>
  <c r="C11" i="3" s="1"/>
  <c r="N14" i="1"/>
  <c r="K15" i="14"/>
  <c r="K16" i="14"/>
  <c r="K10" i="14"/>
  <c r="K14" i="14"/>
  <c r="K38" i="1"/>
  <c r="N11" i="1"/>
  <c r="N18" i="1"/>
  <c r="N29" i="1"/>
  <c r="M25" i="1"/>
  <c r="N21" i="1"/>
  <c r="N22" i="1" l="1"/>
  <c r="N15" i="1"/>
  <c r="J18" i="14"/>
  <c r="J19" i="14" s="1"/>
  <c r="J21" i="14" s="1"/>
  <c r="J26" i="14" s="1"/>
  <c r="N25" i="1"/>
  <c r="M26" i="1"/>
  <c r="C14" i="3" s="1"/>
  <c r="L34" i="1"/>
  <c r="L37" i="1" s="1"/>
  <c r="L6" i="14" s="1"/>
  <c r="L8" i="14" s="1" a="1"/>
  <c r="L8" i="14" s="1"/>
  <c r="K18" i="14"/>
  <c r="M31" i="1"/>
  <c r="N26" i="1" l="1"/>
  <c r="K19" i="14"/>
  <c r="L10" i="14"/>
  <c r="L14" i="14"/>
  <c r="L15" i="14"/>
  <c r="L16" i="14"/>
  <c r="L38" i="1"/>
  <c r="M32" i="1"/>
  <c r="M34" i="1"/>
  <c r="N34" i="1" s="1"/>
  <c r="K21" i="14"/>
  <c r="K26" i="14" s="1"/>
  <c r="N31" i="1"/>
  <c r="N32" i="1" s="1"/>
  <c r="D66" i="9"/>
  <c r="E66" i="9" s="1"/>
  <c r="F66" i="9" s="1"/>
  <c r="G66" i="9" s="1"/>
  <c r="H66" i="9" s="1"/>
  <c r="I66" i="9" s="1"/>
  <c r="J66" i="9" s="1"/>
  <c r="K66" i="9" s="1"/>
  <c r="L66" i="9" s="1"/>
  <c r="L18" i="14" l="1"/>
  <c r="L19" i="14" s="1"/>
  <c r="N35" i="1"/>
  <c r="M37" i="1"/>
  <c r="M6" i="14" s="1"/>
  <c r="M8" i="14" s="1" a="1"/>
  <c r="M8" i="14" s="1"/>
  <c r="N8" i="14" s="1"/>
  <c r="M16" i="14" l="1"/>
  <c r="N16" i="14" s="1"/>
  <c r="M15" i="14"/>
  <c r="N15" i="14" s="1"/>
  <c r="M14" i="14"/>
  <c r="M10" i="14"/>
  <c r="N10" i="14" s="1"/>
  <c r="N6" i="14"/>
  <c r="L21" i="14"/>
  <c r="L26" i="14" s="1"/>
  <c r="C16" i="3"/>
  <c r="M38" i="1"/>
  <c r="C17" i="3" s="1"/>
  <c r="N37" i="1"/>
  <c r="N38" i="1" s="1"/>
  <c r="M18" i="14" l="1"/>
  <c r="N14" i="14"/>
  <c r="M19" i="14" l="1"/>
  <c r="N18" i="14"/>
  <c r="C20" i="3"/>
  <c r="N19" i="14" l="1"/>
  <c r="M21" i="14"/>
  <c r="M26" i="14" s="1"/>
  <c r="B67" i="9"/>
  <c r="B68" i="9" s="1"/>
  <c r="C23" i="3" s="1"/>
  <c r="N21" i="14" l="1"/>
  <c r="N26" i="14" l="1"/>
  <c r="C67" i="9"/>
  <c r="C68" i="9" s="1"/>
  <c r="C69" i="9" l="1"/>
  <c r="D67" i="9"/>
  <c r="D68" i="9" s="1"/>
  <c r="D69" i="9" s="1"/>
  <c r="E67" i="9" l="1"/>
  <c r="E68" i="9" s="1"/>
  <c r="E69" i="9" s="1"/>
  <c r="F67" i="9" l="1"/>
  <c r="F68" i="9" s="1"/>
  <c r="F69" i="9" s="1"/>
  <c r="G67" i="9" l="1"/>
  <c r="G68" i="9" s="1"/>
  <c r="G69" i="9" l="1"/>
  <c r="H67" i="9"/>
  <c r="H68" i="9" s="1"/>
  <c r="H69" i="9" s="1"/>
  <c r="I67" i="9" l="1"/>
  <c r="I68" i="9" s="1"/>
  <c r="I69" i="9" l="1"/>
  <c r="J67" i="9"/>
  <c r="J68" i="9" s="1"/>
  <c r="J69" i="9" s="1"/>
  <c r="L67" i="9" l="1"/>
  <c r="L68" i="9" s="1"/>
  <c r="K67" i="9"/>
  <c r="K68" i="9" s="1"/>
  <c r="K69" i="9" s="1"/>
  <c r="C24" i="3" l="1"/>
  <c r="C26" i="3"/>
  <c r="C25" i="3"/>
  <c r="L69" i="9"/>
  <c r="D8" i="3" l="1"/>
  <c r="C13" i="3" l="1"/>
  <c r="D13" i="3" l="1"/>
  <c r="D14" i="3" l="1"/>
  <c r="D16" i="3" l="1"/>
  <c r="D17" i="3" s="1"/>
  <c r="C29" i="3" l="1"/>
  <c r="D10" i="3" l="1"/>
  <c r="D1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tc={25EAF0A1-5A09-4E8B-96E9-28A5076472AD}</author>
    <author>tc={D98A9260-CC67-45A0-8E4F-C88989235400}</author>
    <author>tc={9DC6055F-4052-441D-86DA-FECC419ADDAB}</author>
    <author>tc={514047D5-5C17-43C5-925A-270184FC597D}</author>
  </authors>
  <commentList>
    <comment ref="E28" authorId="0" shapeId="0" xr:uid="{25EAF0A1-5A09-4E8B-96E9-28A5076472AD}">
      <text>
        <t>[Threaded comment]
Your version of Excel allows you to read this threaded comment; however, any edits to it will get removed if the file is opened in a newer version of Excel. Learn more: https://go.microsoft.com/fwlink/?linkid=870924
Comment:
    check WWP if we can amortize IP</t>
      </text>
    </comment>
    <comment ref="A31" authorId="1" shapeId="0" xr:uid="{D98A9260-CC67-45A0-8E4F-C88989235400}">
      <text>
        <t>[Threaded comment]
Your version of Excel allows you to read this threaded comment; however, any edits to it will get removed if the file is opened in a newer version of Excel. Learn more: https://go.microsoft.com/fwlink/?linkid=870924
Comment:
    delete black boxes once confirmed it's not affecting formulas</t>
      </text>
    </comment>
    <comment ref="D43" authorId="2" shapeId="0" xr:uid="{9DC6055F-4052-441D-86DA-FECC419ADDAB}">
      <text>
        <t>[Threaded comment]
Your version of Excel allows you to read this threaded comment; however, any edits to it will get removed if the file is opened in a newer version of Excel. Learn more: https://go.microsoft.com/fwlink/?linkid=870924
Comment:
    Ilaay to update timing</t>
      </text>
    </comment>
    <comment ref="D44" authorId="3" shapeId="0" xr:uid="{514047D5-5C17-43C5-925A-270184FC597D}">
      <text>
        <t>[Threaded comment]
Your version of Excel allows you to read this threaded comment; however, any edits to it will get removed if the file is opened in a newer version of Excel. Learn more: https://go.microsoft.com/fwlink/?linkid=870924
Comment:
    timing to be updated: wing 1 operational year 1, wing two operational year 2/3</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<sst xmlns="http://schemas.openxmlformats.org/spreadsheetml/2006/main" count="459" uniqueCount="286">
  <si>
    <t>Johnson &amp; Johnson University Case Competition</t>
  </si>
  <si>
    <t>Instructions</t>
  </si>
  <si>
    <t>Introduction:</t>
  </si>
  <si>
    <r>
      <t xml:space="preserve">Thank you for participating in the Johnson &amp; Johnson University Case Competition.  </t>
    </r>
    <r>
      <rPr>
        <sz val="12"/>
        <color theme="1"/>
        <rFont val="Johnson Text"/>
        <family val="3"/>
      </rPr>
      <t xml:space="preserve">This model should be very intuitive to use.  We want you to concentrate on the </t>
    </r>
    <r>
      <rPr>
        <b/>
        <sz val="12"/>
        <color theme="1"/>
        <rFont val="Johnson Text"/>
        <family val="3"/>
      </rPr>
      <t>STRATEGY</t>
    </r>
    <r>
      <rPr>
        <sz val="12"/>
        <color theme="1"/>
        <rFont val="Johnson Text"/>
        <family val="3"/>
      </rPr>
      <t xml:space="preserve"> and explaining the </t>
    </r>
    <r>
      <rPr>
        <b/>
        <sz val="12"/>
        <color theme="1"/>
        <rFont val="Johnson Text"/>
        <family val="3"/>
      </rPr>
      <t>WHY</t>
    </r>
    <r>
      <rPr>
        <sz val="12"/>
        <color theme="1"/>
        <rFont val="Johnson Text"/>
        <family val="3"/>
      </rPr>
      <t xml:space="preserve"> behind the numbers and decisions.  Once you select your decisions, the numbers will fall into place.  Make sure each decision you make is justified and you can defend the reasoning behind your choice.  Also, it is important that your decisions are consistent with the overall strategy your team chooses.</t>
    </r>
  </si>
  <si>
    <t>Instructions:</t>
  </si>
  <si>
    <r>
      <t xml:space="preserve">In the following "Decision Points" tab, you will see the decisions points listed out. All decisions points should be set to "base" when you open the excel. 
Please note that you must make a choice for each decision point and you cannot leave any options as "base" </t>
    </r>
    <r>
      <rPr>
        <b/>
        <u/>
        <sz val="12"/>
        <color theme="1"/>
        <rFont val="Johnson Text"/>
        <family val="3"/>
      </rPr>
      <t>unless</t>
    </r>
    <r>
      <rPr>
        <sz val="12"/>
        <color theme="1"/>
        <rFont val="Johnson Text"/>
        <family val="3"/>
      </rPr>
      <t xml:space="preserve"> you choose Outsource for Supply Chain. </t>
    </r>
    <r>
      <rPr>
        <b/>
        <sz val="12"/>
        <color theme="4"/>
        <rFont val="Johnson Text"/>
        <family val="3"/>
      </rPr>
      <t>If Outsource is chosen for Supply Chain, then base chould be selected for Human Capital as these two choices are inclusive.</t>
    </r>
    <r>
      <rPr>
        <sz val="12"/>
        <color theme="1"/>
        <rFont val="Johnson Text"/>
        <family val="3"/>
      </rPr>
      <t xml:space="preserve">
You can use the "Sandbox" tab to pull in data from other tabs for further Analysis
Once you have finished your selectinos and the model has computed your Financials, ensure you can defend and state a reason behind why you have made each decision. They should all work together cohesively!</t>
    </r>
  </si>
  <si>
    <t>Good Luck &amp; Have Fun!</t>
  </si>
  <si>
    <t>Decision Points</t>
  </si>
  <si>
    <t>Decision Point</t>
  </si>
  <si>
    <t>Decision</t>
  </si>
  <si>
    <t>R&amp;D Strategy:</t>
  </si>
  <si>
    <t>Symmetrical</t>
  </si>
  <si>
    <t>Base</t>
  </si>
  <si>
    <t>Spiral</t>
  </si>
  <si>
    <t>Pricing Strategy</t>
  </si>
  <si>
    <t>Marketing</t>
  </si>
  <si>
    <t>Silver</t>
  </si>
  <si>
    <t>Low</t>
  </si>
  <si>
    <t xml:space="preserve">Supply Chain </t>
  </si>
  <si>
    <t>Medium</t>
  </si>
  <si>
    <t>*If Outsource is chosen…</t>
  </si>
  <si>
    <t>Human Capital</t>
  </si>
  <si>
    <t>High</t>
  </si>
  <si>
    <t>… then base should be selected</t>
  </si>
  <si>
    <t>Income Statement</t>
  </si>
  <si>
    <t>*Financial statements are ficticious and not based on actual results</t>
  </si>
  <si>
    <t>$ in 000's</t>
  </si>
  <si>
    <t>Year 0</t>
  </si>
  <si>
    <t>Year 1</t>
  </si>
  <si>
    <t>Year 2</t>
  </si>
  <si>
    <t>Year 3</t>
  </si>
  <si>
    <t>Year 4</t>
  </si>
  <si>
    <t>Year 5</t>
  </si>
  <si>
    <t>Year 6</t>
  </si>
  <si>
    <t>Year 7</t>
  </si>
  <si>
    <t>Year 8</t>
  </si>
  <si>
    <t>Year 9</t>
  </si>
  <si>
    <t>Year 10</t>
  </si>
  <si>
    <t>Cumu</t>
  </si>
  <si>
    <t>Net Sales</t>
  </si>
  <si>
    <t>Net Sales Sales Growth Rate</t>
  </si>
  <si>
    <t>Cost of Goods Sold</t>
  </si>
  <si>
    <t>% of Sales</t>
  </si>
  <si>
    <t>COGS % of Baseline</t>
  </si>
  <si>
    <t>Gross Profit</t>
  </si>
  <si>
    <t>Selling, General &amp; Administrative</t>
  </si>
  <si>
    <t>SG&amp;A % of Baseline</t>
  </si>
  <si>
    <t>Research &amp; Development</t>
  </si>
  <si>
    <t>R&amp;D % of Baseline</t>
  </si>
  <si>
    <t>Operational Expenditures</t>
  </si>
  <si>
    <t>Other Income &amp; Expense</t>
  </si>
  <si>
    <t>Income Before Tax</t>
  </si>
  <si>
    <t>Tax</t>
  </si>
  <si>
    <t>Effective Tax Rate</t>
  </si>
  <si>
    <t>Net Income</t>
  </si>
  <si>
    <t>Statement of Cash Flows</t>
  </si>
  <si>
    <t>Net Income / (Loss)</t>
  </si>
  <si>
    <t>Capital Expenditures</t>
  </si>
  <si>
    <t>Amortization / Depreciation</t>
  </si>
  <si>
    <t>Working Capital</t>
  </si>
  <si>
    <t>Accounts Receivable</t>
  </si>
  <si>
    <t>Inventory</t>
  </si>
  <si>
    <t>Accounts Payable</t>
  </si>
  <si>
    <t>Total Working Capital</t>
  </si>
  <si>
    <t>Change in Working Capital</t>
  </si>
  <si>
    <t>Free Cash Flow</t>
  </si>
  <si>
    <t>Discount Rate</t>
  </si>
  <si>
    <t>Discounted Cash Flow</t>
  </si>
  <si>
    <t>Financial Highlights</t>
  </si>
  <si>
    <t>*Please note that all Financial Hightlights are subject to leveres activated on the "Decision Points" tab</t>
  </si>
  <si>
    <t>Highlights</t>
  </si>
  <si>
    <t>Selected Decision Points</t>
  </si>
  <si>
    <t>Financials</t>
  </si>
  <si>
    <t>Average</t>
  </si>
  <si>
    <t>Cumulative</t>
  </si>
  <si>
    <t>% NTS</t>
  </si>
  <si>
    <t>OpEx</t>
  </si>
  <si>
    <t>*these points are not available for selection;
 please return to the "Decision Points" tab</t>
  </si>
  <si>
    <t>Market Assumptions</t>
  </si>
  <si>
    <t>Market Growth</t>
  </si>
  <si>
    <t>Market Share Metrics</t>
  </si>
  <si>
    <t>Beginning Share</t>
  </si>
  <si>
    <t>Ending Share</t>
  </si>
  <si>
    <t>Peak Share</t>
  </si>
  <si>
    <t>Average Share</t>
  </si>
  <si>
    <t>Value Creation Metrics</t>
  </si>
  <si>
    <t>NPV</t>
  </si>
  <si>
    <t>This tab is intentionally left blank</t>
  </si>
  <si>
    <t>Levers</t>
  </si>
  <si>
    <t>Decision Points &amp; Options</t>
  </si>
  <si>
    <t>IP Both</t>
  </si>
  <si>
    <t>Internal Both</t>
  </si>
  <si>
    <t>Internal Symmetrical; IP Spiral</t>
  </si>
  <si>
    <t>IP Symmetrical; Internal Spiral</t>
  </si>
  <si>
    <t>symmetrical</t>
  </si>
  <si>
    <t>IP</t>
  </si>
  <si>
    <t>Internal</t>
  </si>
  <si>
    <t xml:space="preserve">Low </t>
  </si>
  <si>
    <t>Med</t>
  </si>
  <si>
    <t>Bronze</t>
  </si>
  <si>
    <t>Gold</t>
  </si>
  <si>
    <t>Outsource</t>
  </si>
  <si>
    <t>Plant Expansion</t>
  </si>
  <si>
    <t>New Plant Construction</t>
  </si>
  <si>
    <t>Full Time</t>
  </si>
  <si>
    <t xml:space="preserve">Contractor </t>
  </si>
  <si>
    <t>Income Statement Levers</t>
  </si>
  <si>
    <t>Pricing Strategy Sales increase</t>
  </si>
  <si>
    <t>Sales impact</t>
  </si>
  <si>
    <t>COGS impact</t>
  </si>
  <si>
    <t>GP Impact</t>
  </si>
  <si>
    <t>orginal equations</t>
  </si>
  <si>
    <t>symetric base</t>
  </si>
  <si>
    <t>symetric IP</t>
  </si>
  <si>
    <t>symetric internal</t>
  </si>
  <si>
    <t>spiral base</t>
  </si>
  <si>
    <t>spiral IP</t>
  </si>
  <si>
    <t>spiral internal</t>
  </si>
  <si>
    <t>Marketing Strategy Sales increase</t>
  </si>
  <si>
    <t xml:space="preserve">year 1: </t>
  </si>
  <si>
    <t>IF('Decision Points'!$C$6="Base",0,0)</t>
  </si>
  <si>
    <t>IF('Decision Points'!$C$6=Levers!A29,Levers!$C$29,0)</t>
  </si>
  <si>
    <t>IF('Decision Points'!$C$6=Levers!$A$30,Levers!$C$30,0)*0.4</t>
  </si>
  <si>
    <t>IF('Decision Points'!$C$7="Base",0,0)</t>
  </si>
  <si>
    <t>IF('Decision Points'!$C$7=Levers!$A$35,Levers!$C$35,0)*0</t>
  </si>
  <si>
    <t>IF('Decision Points'!$C$7=Levers!$A$36,Levers!$C$36,0)*0</t>
  </si>
  <si>
    <t>year 2</t>
  </si>
  <si>
    <t>IF('Decision Points'!$C$6=Levers!$A$30,Levers!$C$30,0)*0.6</t>
  </si>
  <si>
    <t xml:space="preserve">year 3 </t>
  </si>
  <si>
    <t>IF('Decision Points'!$C$6=Levers!$A$30,Levers!$C$30,0)</t>
  </si>
  <si>
    <t>IF('Decision Points'!$C$7=Levers!$A$35,Levers!$C$35,0)*0.6</t>
  </si>
  <si>
    <t>IF('Decision Points'!$C$7=Levers!$A$36,Levers!$C$36,0)*0.3</t>
  </si>
  <si>
    <t>year 4</t>
  </si>
  <si>
    <t>IF('Decision Points'!$C$7=Levers!$A$35,Levers!$C$35,0)*0.8</t>
  </si>
  <si>
    <t>IF('Decision Points'!$C$7=Levers!$A$36,Levers!$C$36,0)*0.6</t>
  </si>
  <si>
    <t>year 5</t>
  </si>
  <si>
    <t>IF('Decision Points'!$C$7=Levers!$A$35,Levers!$C$35,0)</t>
  </si>
  <si>
    <t>IF('Decision Points'!$C$7=Levers!$A$36,Levers!$C$36,0)</t>
  </si>
  <si>
    <t>Marketing SG&amp;A expense increase</t>
  </si>
  <si>
    <t>R&amp;D Expense increase</t>
  </si>
  <si>
    <t>C6 is symmetric, C7 is spiral</t>
  </si>
  <si>
    <t>R&amp;D expense impact</t>
  </si>
  <si>
    <t>sales impact</t>
  </si>
  <si>
    <t>capex exp (just impact IP options, year 1 impact)</t>
  </si>
  <si>
    <t>amortization/depreciation/write off?</t>
  </si>
  <si>
    <t>jenna notes:</t>
  </si>
  <si>
    <t>Lower GP ; Earlier FCF ( Spiral in 2012 launch ; Symmetrical 2014 - 2015 ) ; Immediate P&amp;L Impact ; lowest R&amp;D</t>
  </si>
  <si>
    <t xml:space="preserve">Shouldn’t we increase sales as a result? </t>
  </si>
  <si>
    <t>sales offset by the cost of the IP (reoccuring licensing fee?)</t>
  </si>
  <si>
    <t>spiral:</t>
  </si>
  <si>
    <t>Product </t>
  </si>
  <si>
    <t>R&amp;D Strategy </t>
  </si>
  <si>
    <t>Cash Flow </t>
  </si>
  <si>
    <t>Market Share </t>
  </si>
  <si>
    <t>year 1:</t>
  </si>
  <si>
    <t>=+IF('Decision Points'!$C$6="Base",0,0)</t>
  </si>
  <si>
    <t>+IF('Decision Points'!$C$6=Levers!A29,Levers!$C$29,0)*0.75</t>
  </si>
  <si>
    <t>+IF('Decision Points'!$C$6=Levers!$A$30,Levers!$C$30,0)*0</t>
  </si>
  <si>
    <t>+IF('Decision Points'!$C$7="Base",0,0)</t>
  </si>
  <si>
    <t>+IF('Decision Points'!$C$7=Levers!$A$35,Levers!$C$35,0)*0</t>
  </si>
  <si>
    <t>+IF('Decision Points'!$C$7=Levers!$A$36,Levers!$C$36,0)*0.6</t>
  </si>
  <si>
    <t>`</t>
  </si>
  <si>
    <t>Higher GP ; Later FCF ( Spiral in 2012 launch ; Symmetrical 2014 - 2015 ) ; Immediate P&amp;L Impact ; highest R&amp;D</t>
  </si>
  <si>
    <t>sym can hit market immediately (affects sales year 1), if developing internally impact hits year 2 40% and year 3 60% but fully imapct year 4 onwards</t>
  </si>
  <si>
    <t>if spiral is base</t>
  </si>
  <si>
    <t>if spiral is IP, 1% increase to sales, 40% impact of that so later to market</t>
  </si>
  <si>
    <t>if spiral is internal, 2.5% increase to sales</t>
  </si>
  <si>
    <t>if symmetric is base, 0 impact</t>
  </si>
  <si>
    <t>if symmetric is IP, 1% increase, 0 impact year one</t>
  </si>
  <si>
    <t xml:space="preserve">if symmetric is internal, 2.5% increase, 0 impact year 1 </t>
  </si>
  <si>
    <t>Lower GP in 2012 ; Earlier FCF ( Spiral in 2012 launch ) ; Higher GP in 2014 ; Later FCF ( Symmetrical 2014 - 2015 ) ; Immediate P&amp;L Impact ; Low R&amp;D impacts till Symmetrical Launch then flat</t>
  </si>
  <si>
    <t>Symmetrical has a larger TAM, spiral is new (IP Spiral will have a ) (JNJ can devolop spiral faster than competitors)</t>
  </si>
  <si>
    <t>or we can just do flat all around if easier?</t>
  </si>
  <si>
    <t>Spiral </t>
  </si>
  <si>
    <t>Purchase IP </t>
  </si>
  <si>
    <t>More CapEx; Later to Market </t>
  </si>
  <si>
    <t>TBD </t>
  </si>
  <si>
    <t>needs to be later to market</t>
  </si>
  <si>
    <t>earlier to market</t>
  </si>
  <si>
    <t>later to market</t>
  </si>
  <si>
    <t>Higher GP in 2012 ; Later FCF ( Symmetrical 2014 - 2015 ) ; Lower GP in 2014 ; Earlier FCF ( Spiral in 2012 launch ) ; Immediate P&amp;L Impact ; High R&amp;D impacts till Symmetrical Launch then flat</t>
  </si>
  <si>
    <t xml:space="preserve">Higher GP for symmetrical (missing out , spiral can catch up )lower GP when compared to Spiral </t>
  </si>
  <si>
    <t>Internally Develop </t>
  </si>
  <si>
    <t>More R&amp;D; Earlier to Market </t>
  </si>
  <si>
    <t>IF('Decision Points'!$C$6=Levers!$A$30,Levers!$C$30,0)*0</t>
  </si>
  <si>
    <t>IF('Decision Points'!$C$7=Levers!$A$35,Levers!$C$35,0)*0.4</t>
  </si>
  <si>
    <t>Spiral:</t>
  </si>
  <si>
    <t>has a higher impact on sales because the technology is newer than symmetrical</t>
  </si>
  <si>
    <t>Symmetrical </t>
  </si>
  <si>
    <t>More CapEx; Earlier to Market </t>
  </si>
  <si>
    <t>Higher </t>
  </si>
  <si>
    <t>year 3</t>
  </si>
  <si>
    <t>IF('Decision Points'!$C$6=Levers!$A$30,Levers!$C$30,0)*.3</t>
  </si>
  <si>
    <t>would hit market later (affects sales year 2 if IP, year 3 if internal developed)</t>
  </si>
  <si>
    <t xml:space="preserve">internally developing spiral earlier to market than IP </t>
  </si>
  <si>
    <t>More R&amp;D; Later to Market </t>
  </si>
  <si>
    <t>Lower </t>
  </si>
  <si>
    <t>IF('Decision Points'!$C$6=Levers!$A$30,Levers!$C$30,0)*.5</t>
  </si>
  <si>
    <t>IF('Decision Points'!$C$6=Levers!$A$30,Levers!$C$30,0)*0.75</t>
  </si>
  <si>
    <t>Supply chain expense increase</t>
  </si>
  <si>
    <t>COGS</t>
  </si>
  <si>
    <t>Immediate P&amp;L impact</t>
  </si>
  <si>
    <t>old version impact year one, new version impact started year 2</t>
  </si>
  <si>
    <t>old version slight impact year 1 and 2, new version slight impact year 1, normal going forward</t>
  </si>
  <si>
    <t>old version no impact to year 3, new version impact starting year 1</t>
  </si>
  <si>
    <t>no change, already later to market</t>
  </si>
  <si>
    <t>3 years until operational, no P&amp;L impact until 4th year, capex</t>
  </si>
  <si>
    <t>on P&amp;L after a year</t>
  </si>
  <si>
    <t>increase in SG&amp;A a little</t>
  </si>
  <si>
    <t>Should it be negative?</t>
  </si>
  <si>
    <t>5 years until operational, no P&amp;L impact until 6th year, capex</t>
  </si>
  <si>
    <t>on P&amp;L 60% operationa1 year 2, fully operational after 3 years</t>
  </si>
  <si>
    <t>IF('Decision Points'!$C$6=Levers!A29,Levers!$D$29,0)</t>
  </si>
  <si>
    <t>IF('Decision Points'!$C$6=Levers!$A$30,0,0)</t>
  </si>
  <si>
    <t>IF('Decision Points'!$C$7=Levers!$A$35,Levers!$D$35,0)</t>
  </si>
  <si>
    <t>IF('Decision Points'!$C$7=Levers!$A$36,Levers!$D$36,0)</t>
  </si>
  <si>
    <t>Human Capital expense increase</t>
  </si>
  <si>
    <t xml:space="preserve">cogs year 1 </t>
  </si>
  <si>
    <t>cogs year 2</t>
  </si>
  <si>
    <t>cogs year 3</t>
  </si>
  <si>
    <t>cogs year 4</t>
  </si>
  <si>
    <t>cogs year 5</t>
  </si>
  <si>
    <t>cogs year 6</t>
  </si>
  <si>
    <t xml:space="preserve">apply 2 MM in CAPEX </t>
  </si>
  <si>
    <t xml:space="preserve">if internal, apply nothing </t>
  </si>
  <si>
    <t>apply 4 MM in capex</t>
  </si>
  <si>
    <t>Expenses increase one new plant/expansion is operational</t>
  </si>
  <si>
    <t>Full-time</t>
  </si>
  <si>
    <t>CF Statement Levers</t>
  </si>
  <si>
    <t>Supply chain capex increase</t>
  </si>
  <si>
    <t>Base Assumptions (% of Net Income)</t>
  </si>
  <si>
    <t>Base CAPEX</t>
  </si>
  <si>
    <t>Base Amort/Dep</t>
  </si>
  <si>
    <t>Base A/R</t>
  </si>
  <si>
    <t>Base Inv</t>
  </si>
  <si>
    <t>Base A/P</t>
  </si>
  <si>
    <t>Marketshare Backend</t>
  </si>
  <si>
    <t>Mkt Growth</t>
  </si>
  <si>
    <t>TOTAL MARKET</t>
  </si>
  <si>
    <t>JJ Sales</t>
  </si>
  <si>
    <t>JJ Share</t>
  </si>
  <si>
    <t>Done</t>
  </si>
  <si>
    <t>Sales</t>
  </si>
  <si>
    <t>Supply chain P&amp;L</t>
  </si>
  <si>
    <t>Years till functional</t>
  </si>
  <si>
    <t>60,80,100</t>
  </si>
  <si>
    <t>GP impact</t>
  </si>
  <si>
    <t>GP Impact (in cogs line)</t>
  </si>
  <si>
    <t>effencies in GP for full-time by increasing sales slightly (8-10) due to high turnover</t>
  </si>
  <si>
    <t>Should we add GP increase for full-time employees in years 4-10?</t>
  </si>
  <si>
    <t>SG&amp;A fixed operating costs</t>
  </si>
  <si>
    <t>Feedback</t>
  </si>
  <si>
    <t>How we addressed</t>
  </si>
  <si>
    <t>Excel</t>
  </si>
  <si>
    <t>*Note when stress testing specific decision points, all other decision points were kept at base</t>
  </si>
  <si>
    <t>General:</t>
  </si>
  <si>
    <t>Please stress test the decision points to confirm they make logical sense based on the story you are trying to relay. Some of the decision points don’t have the same impact on financials as it is communicated they would based on the write-up document</t>
  </si>
  <si>
    <t>see stress testing columns, our team to stress test</t>
  </si>
  <si>
    <r>
      <rPr>
        <sz val="11"/>
        <color rgb="FF000000"/>
        <rFont val="Aptos"/>
        <family val="2"/>
      </rPr>
      <t>Ethicon sales were ~$6.5B</t>
    </r>
    <r>
      <rPr>
        <sz val="11"/>
        <color rgb="FF000000"/>
        <rFont val="Calibri"/>
        <family val="2"/>
      </rPr>
      <t xml:space="preserve"> </t>
    </r>
    <r>
      <rPr>
        <sz val="11"/>
        <color rgb="FF000000"/>
        <rFont val="Aptos"/>
        <family val="2"/>
      </rPr>
      <t>in 2012,</t>
    </r>
    <r>
      <rPr>
        <sz val="11"/>
        <color rgb="FFFF0000"/>
        <rFont val="Aptos"/>
        <family val="2"/>
      </rPr>
      <t xml:space="preserve"> </t>
    </r>
    <r>
      <rPr>
        <sz val="11"/>
        <color rgb="FF000000"/>
        <rFont val="Aptos"/>
        <family val="2"/>
      </rPr>
      <t>~$4.4B seems like a low baseline. Where is market share/growth information from in the support tab? Coordinate with write-up that we feel good about the assumptions</t>
    </r>
  </si>
  <si>
    <t>5.8 starting point</t>
  </si>
  <si>
    <t>There seems to be no clear relationship between the various decision points, with most decision points being mutually exclusive. For example, if students select high pricing and high marketing, would expect the GP/NI margins to increase (with potential for some negative NI margin impact, depending on how expensive the marketing is). Consider decision points having variable impacts on GP/NI margins through multiple peglines (not strictly flat increase in sales, having the same proportional increase in COGS)</t>
  </si>
  <si>
    <t>added more impacts to decisions points in levers background</t>
  </si>
  <si>
    <t>Why does the GP and NI margin decrease throughout the launch of stratafix? Do we have evidence that Startafix erodes margins?</t>
  </si>
  <si>
    <t>adjusted baseline</t>
  </si>
  <si>
    <t>Specify that Marketing falls under SG&amp;A. Its not super clear where the costs sits in the P&amp;L (catering to students, sometimes not always finance majors as well)</t>
  </si>
  <si>
    <t>noted in line item title</t>
  </si>
  <si>
    <t>Bolden or make clear the totals peglines (GP, OPEX, IBT, NI)</t>
  </si>
  <si>
    <t>bolded lines</t>
  </si>
  <si>
    <t>Update J&amp;J logos and colors in model. Can leverage PY models for reference</t>
  </si>
  <si>
    <t>Input a decision points summary on the financial highlights tab, similar to PY models</t>
  </si>
  <si>
    <t>added</t>
  </si>
  <si>
    <t>R&amp;D Decision Point:</t>
  </si>
  <si>
    <t>Is there different R&amp;D costs associated with internal development or IP of symmetrical/spiral. Does one cost more to develop than the other? Does one take longer to develop than the other? They seem to cost the same and be on the exact same timeline right now</t>
  </si>
  <si>
    <t>Spiral costs more to develop and purchase IP as the technology is more complex than symmetrical which already exists, costs increased for Spiral</t>
  </si>
  <si>
    <t>Theres no impact on sales based on internal/external R&amp;D… work with the write-up team to determine which R&amp;D implications take place and how material they are to Sales/COGS.etc. Does the company maybe save cost on one strategy vs. the other? If one were to internally develop vs. buy IP, would assume theres a lag in timing for when there is an increase in sales. Whatever decisions are made should be communicated to the write-up team to ensure its captured in the case</t>
  </si>
  <si>
    <t>if symmetrical is internally developed has 40% impact on sales Year 1 and 60% year 2 and full impact year 3. Symmetric Internal 100% immediate impact 
if spiral is internally developed no impact year 1 and 2, 30% impact year 3, 60%  year 4, full impact year 5 onward. If spiral IP is bought no impact year 1 and 2, 60% impact year 3, 80% year 4, full imapct year 5 onwards</t>
  </si>
  <si>
    <t>Pricing Decision Point:</t>
  </si>
  <si>
    <t>Would not expect GP to stay flat as pricing decisions change. As price increases, usually so does GP… maybe build in a volume and price lever in the backend of the model to be able to view Sales/COGS a bit deeper. PY models have this built in (unlocked versions)</t>
  </si>
  <si>
    <t>This has been fixed, adjusted GP line formulas to remain the same for base but now able to add % impact without throwing off anything</t>
  </si>
  <si>
    <t>Supply Chain Decision Point:</t>
  </si>
  <si>
    <t>Why is a new plant construction cheaper than a plant extension? Would think there are additional costs to a new plant</t>
  </si>
  <si>
    <t>Consider other pegline impacts when building new plant vs. expansion vs. outsourcing… are there impacts on sales depending on when we can begin manufacturing the product (based on the write-up, outsourcing manufacturing has an accelerated impact on sales, while plant modifications takes a few years)? Can we have GP efficiencies because of better skilled workers or new equipment? Are there additional costs or savings to other peglines based on what the student selects (ex. higher SG&amp;A costs associated with a new plant)</t>
  </si>
  <si>
    <t>Human Capital Decision Point:</t>
  </si>
  <si>
    <t>Why are contractors more expensive than FTEs? FTEs have additional costs associated with them (benefits, fringe, etc.)</t>
  </si>
  <si>
    <t>put cash flow on a new tab</t>
  </si>
  <si>
    <t>check the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</si>
</sst>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0.0%"/>
    <numFmt numFmtId="165" formatCode="_(&quot;$&quot;* #,##0_);_(&quot;$&quot;* \(#,##0\);_(&quot;$&quot;* &quot;-&quot;??_);_(@_)"/>
    <numFmt numFmtId="166" formatCode="_(* #,##0_);_(* \(#,##0\);_(* &quot;-&quot;??_);_(@_)"/>
    <numFmt numFmtId="167" formatCode="&quot;$&quot;#,##0.0;\-&quot;$&quot;#,##0.0"/>
    <numFmt numFmtId="168" formatCode="0.0000"/>
    <numFmt numFmtId="169" formatCode="0.000%"/>
  </numFmts>
  <fonts count="46">
    <font>
      <sz val="11"/>
      <color theme="1"/>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b/>
      <sz val="11"/>
      <name val="Calibri"/>
      <family val="2"/>
      <scheme val="minor"/>
    </font>
    <font>
      <b/>
      <u/>
      <sz val="11"/>
      <color theme="1"/>
      <name val="Calibri"/>
      <family val="2"/>
      <scheme val="minor"/>
    </font>
    <font>
      <sz val="11"/>
      <color rgb="FFFF0000"/>
      <name val="Calibri"/>
      <family val="2"/>
      <scheme val="minor"/>
    </font>
    <font>
      <b/>
      <sz val="11"/>
      <color rgb="FFFF0000"/>
      <name val="Calibri"/>
      <family val="2"/>
      <scheme val="minor"/>
    </font>
    <font>
      <b/>
      <u/>
      <sz val="11"/>
      <color theme="1"/>
      <name val="Aptos"/>
      <family val="2"/>
      <charset val="1"/>
    </font>
    <font>
      <i/>
      <sz val="9"/>
      <color theme="1"/>
      <name val="Aptos"/>
      <family val="2"/>
      <charset val="1"/>
    </font>
    <font>
      <sz val="11"/>
      <color theme="1"/>
      <name val="Aptos"/>
      <family val="2"/>
      <charset val="1"/>
    </font>
    <font>
      <sz val="11"/>
      <color rgb="FF000000"/>
      <name val="Aptos"/>
      <family val="2"/>
    </font>
    <font>
      <sz val="11"/>
      <color rgb="FF000000"/>
      <name val="Calibri"/>
      <family val="2"/>
    </font>
    <font>
      <sz val="11"/>
      <color rgb="FF000000"/>
      <name val="Aptos"/>
      <family val="2"/>
      <charset val="1"/>
    </font>
    <font>
      <sz val="11"/>
      <color rgb="FFFF0000"/>
      <name val="Aptos"/>
      <family val="2"/>
    </font>
    <font>
      <sz val="11"/>
      <color rgb="FF000000"/>
      <name val="Calibri"/>
      <family val="2"/>
      <scheme val="minor"/>
    </font>
    <font>
      <sz val="11"/>
      <color theme="1"/>
      <name val="Johnson Display Light"/>
      <family val="3"/>
    </font>
    <font>
      <sz val="11"/>
      <color theme="0"/>
      <name val="Johnson Display Light"/>
      <family val="3"/>
    </font>
    <font>
      <i/>
      <sz val="9"/>
      <color theme="1"/>
      <name val="Johnson Display Light"/>
      <family val="3"/>
    </font>
    <font>
      <sz val="9"/>
      <color theme="1"/>
      <name val="Johnson Display Light"/>
      <family val="3"/>
    </font>
    <font>
      <sz val="18"/>
      <color theme="0"/>
      <name val="Johnson Display"/>
      <family val="3"/>
    </font>
    <font>
      <sz val="8"/>
      <color theme="1"/>
      <name val="Johnson Display Light"/>
      <family val="3"/>
    </font>
    <font>
      <i/>
      <sz val="8"/>
      <color theme="1"/>
      <name val="Johnson Display Light"/>
      <family val="3"/>
    </font>
    <font>
      <i/>
      <sz val="11"/>
      <color theme="0"/>
      <name val="Johnson Text"/>
      <family val="3"/>
    </font>
    <font>
      <sz val="11"/>
      <color theme="1"/>
      <name val="Johnson Text"/>
      <family val="3"/>
    </font>
    <font>
      <b/>
      <sz val="11"/>
      <name val="Johnson Text"/>
      <family val="3"/>
    </font>
    <font>
      <sz val="11"/>
      <name val="Johnson Text"/>
      <family val="3"/>
    </font>
    <font>
      <i/>
      <sz val="9"/>
      <name val="Johnson Text"/>
      <family val="3"/>
    </font>
    <font>
      <i/>
      <sz val="8"/>
      <name val="Johnson Text"/>
      <family val="3"/>
    </font>
    <font>
      <sz val="8"/>
      <name val="Johnson Text"/>
      <family val="3"/>
    </font>
    <font>
      <sz val="9"/>
      <name val="Johnson Text"/>
      <family val="3"/>
    </font>
    <font>
      <b/>
      <sz val="11"/>
      <color theme="1"/>
      <name val="Johnson Text"/>
      <family val="3"/>
    </font>
    <font>
      <sz val="11"/>
      <color rgb="FF000000"/>
      <name val="Johnson Text"/>
      <family val="3"/>
    </font>
    <font>
      <b/>
      <sz val="11"/>
      <color rgb="FF000000"/>
      <name val="Johnson Text"/>
      <family val="3"/>
    </font>
    <font>
      <b/>
      <sz val="12"/>
      <color theme="1"/>
      <name val="Johnson Text"/>
      <family val="3"/>
    </font>
    <font>
      <sz val="12"/>
      <color theme="1"/>
      <name val="Johnson Text"/>
      <family val="3"/>
    </font>
    <font>
      <b/>
      <u/>
      <sz val="12"/>
      <color theme="1"/>
      <name val="Johnson Text"/>
      <family val="3"/>
    </font>
    <font>
      <b/>
      <i/>
      <sz val="11"/>
      <color theme="1"/>
      <name val="Johnson Text"/>
      <family val="3"/>
    </font>
    <font>
      <i/>
      <sz val="11"/>
      <color theme="1"/>
      <name val="Johnson Text"/>
      <family val="3"/>
    </font>
    <font>
      <b/>
      <sz val="12"/>
      <color theme="4"/>
      <name val="Johnson Text"/>
      <family val="3"/>
    </font>
    <font>
      <b/>
      <u/>
      <sz val="14"/>
      <color theme="1"/>
      <name val="Johnson Text Medium"/>
      <family val="3"/>
    </font>
    <font>
      <i/>
      <sz val="9"/>
      <color theme="0"/>
      <name val="Johnson Text"/>
      <family val="3"/>
    </font>
    <font>
      <b/>
      <i/>
      <sz val="14"/>
      <color theme="1"/>
      <name val="Johnson Text Medium"/>
      <family val="3"/>
    </font>
    <font>
      <b/>
      <i/>
      <sz val="11"/>
      <color theme="2"/>
      <name val="Johnson Text"/>
      <family val="3"/>
    </font>
    <font>
      <sz val="11"/>
      <color theme="3"/>
      <name val="Calibri"/>
      <family val="2"/>
      <scheme val="minor"/>
    </font>
    <font>
      <i/>
      <sz val="11"/>
      <color theme="4"/>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3"/>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bgColor indexed="64"/>
      </patternFill>
    </fill>
  </fills>
  <borders count="20">
    <border>
      <left/>
      <right/>
      <top/>
      <bottom/>
      <diagonal/>
    </border>
    <border>
      <left/>
      <right/>
      <top style="thin">
        <color rgb="FF000000"/>
      </top>
      <bottom style="thin">
        <color rgb="FF000000"/>
      </bottom>
      <diagonal/>
    </border>
    <border>
      <left/>
      <right/>
      <top style="thin">
        <color rgb="FF000000"/>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191">
    <xf numFmtId="0" fontId="0" fillId="0" borderId="0" xfId="0"/>
    <xf numFmtId="0" fontId="2" fillId="0" borderId="0" xfId="0" applyFont="1"/>
    <xf numFmtId="9" fontId="0" fillId="0" borderId="0" xfId="3" applyFont="1"/>
    <xf numFmtId="43" fontId="0" fillId="0" borderId="0" xfId="1" applyFont="1"/>
    <xf numFmtId="164" fontId="0" fillId="0" borderId="0" xfId="3" applyNumberFormat="1" applyFont="1"/>
    <xf numFmtId="2" fontId="0" fillId="0" borderId="0" xfId="3" applyNumberFormat="1" applyFont="1"/>
    <xf numFmtId="168" fontId="0" fillId="0" borderId="0" xfId="3" applyNumberFormat="1" applyFont="1"/>
    <xf numFmtId="168" fontId="0" fillId="0" borderId="0" xfId="0" applyNumberFormat="1"/>
    <xf numFmtId="0" fontId="0" fillId="3" borderId="0" xfId="0" applyFill="1" applyAlignment="1">
      <alignment horizontal="centerContinuous"/>
    </xf>
    <xf numFmtId="0" fontId="5" fillId="3" borderId="0" xfId="0" applyFont="1" applyFill="1" applyAlignment="1">
      <alignment horizontal="centerContinuous"/>
    </xf>
    <xf numFmtId="167" fontId="4" fillId="2" borderId="0" xfId="0" applyNumberFormat="1" applyFont="1" applyFill="1" applyAlignment="1" applyProtection="1">
      <alignment horizontal="centerContinuous"/>
      <protection hidden="1"/>
    </xf>
    <xf numFmtId="0" fontId="0" fillId="2" borderId="0" xfId="0" applyFill="1" applyAlignment="1" applyProtection="1">
      <alignment horizontal="centerContinuous"/>
      <protection hidden="1"/>
    </xf>
    <xf numFmtId="0" fontId="0" fillId="2" borderId="0" xfId="0" applyFill="1" applyAlignment="1">
      <alignment horizontal="centerContinuous"/>
    </xf>
    <xf numFmtId="9" fontId="0" fillId="0" borderId="0" xfId="3" applyFont="1" applyFill="1"/>
    <xf numFmtId="0" fontId="1" fillId="0" borderId="0" xfId="0" applyFont="1"/>
    <xf numFmtId="0" fontId="0" fillId="0" borderId="0" xfId="0" applyProtection="1">
      <protection hidden="1"/>
    </xf>
    <xf numFmtId="168" fontId="2" fillId="0" borderId="0" xfId="3" applyNumberFormat="1" applyFont="1" applyFill="1"/>
    <xf numFmtId="2" fontId="2" fillId="0" borderId="0" xfId="3" applyNumberFormat="1" applyFont="1" applyFill="1"/>
    <xf numFmtId="0" fontId="5" fillId="4" borderId="0" xfId="0" applyFont="1" applyFill="1"/>
    <xf numFmtId="0" fontId="5" fillId="4" borderId="0" xfId="0" applyFont="1" applyFill="1" applyAlignment="1">
      <alignment horizontal="left"/>
    </xf>
    <xf numFmtId="0" fontId="6" fillId="0" borderId="0" xfId="0" applyFont="1"/>
    <xf numFmtId="0" fontId="0" fillId="6" borderId="0" xfId="0" applyFill="1"/>
    <xf numFmtId="0" fontId="0" fillId="7" borderId="0" xfId="0" applyFill="1"/>
    <xf numFmtId="0" fontId="5" fillId="0" borderId="0" xfId="0" applyFont="1"/>
    <xf numFmtId="0" fontId="7" fillId="0" borderId="0" xfId="0" applyFont="1"/>
    <xf numFmtId="43" fontId="0" fillId="5" borderId="0" xfId="3" applyNumberFormat="1" applyFont="1" applyFill="1"/>
    <xf numFmtId="43" fontId="0" fillId="0" borderId="0" xfId="0" applyNumberFormat="1"/>
    <xf numFmtId="9" fontId="0" fillId="0" borderId="0" xfId="0" applyNumberFormat="1"/>
    <xf numFmtId="164" fontId="0" fillId="0" borderId="0" xfId="0" applyNumberFormat="1"/>
    <xf numFmtId="169" fontId="0" fillId="0" borderId="0" xfId="0" applyNumberFormat="1"/>
    <xf numFmtId="3" fontId="0" fillId="0" borderId="0" xfId="0" applyNumberFormat="1"/>
    <xf numFmtId="0" fontId="8" fillId="0" borderId="0" xfId="0" applyFont="1"/>
    <xf numFmtId="0" fontId="9" fillId="0" borderId="0" xfId="0" applyFont="1"/>
    <xf numFmtId="0" fontId="10" fillId="0" borderId="0" xfId="0" applyFont="1"/>
    <xf numFmtId="0" fontId="10" fillId="0" borderId="0" xfId="0" applyFont="1" applyAlignment="1">
      <alignment vertical="top" wrapText="1"/>
    </xf>
    <xf numFmtId="0" fontId="0" fillId="0" borderId="0" xfId="0" applyAlignment="1">
      <alignment vertical="top" wrapText="1"/>
    </xf>
    <xf numFmtId="0" fontId="13" fillId="0" borderId="0" xfId="0" applyFont="1" applyAlignment="1">
      <alignment vertical="top" wrapText="1"/>
    </xf>
    <xf numFmtId="0" fontId="0" fillId="5" borderId="0" xfId="0" applyFill="1" applyAlignment="1">
      <alignment vertical="top" wrapText="1"/>
    </xf>
    <xf numFmtId="0" fontId="15" fillId="0" borderId="0" xfId="0" applyFont="1" applyAlignment="1">
      <alignment vertical="top" wrapText="1"/>
    </xf>
    <xf numFmtId="0" fontId="10" fillId="5" borderId="0" xfId="0" applyFont="1" applyFill="1" applyAlignment="1">
      <alignment vertical="top" wrapText="1"/>
    </xf>
    <xf numFmtId="0" fontId="16" fillId="0" borderId="0" xfId="0" applyFont="1"/>
    <xf numFmtId="165" fontId="16" fillId="0" borderId="0" xfId="0" applyNumberFormat="1" applyFont="1"/>
    <xf numFmtId="0" fontId="16" fillId="4" borderId="0" xfId="0" applyFont="1" applyFill="1"/>
    <xf numFmtId="0" fontId="17" fillId="4" borderId="0" xfId="0" applyFont="1" applyFill="1"/>
    <xf numFmtId="0" fontId="18" fillId="0" borderId="0" xfId="0" applyFont="1"/>
    <xf numFmtId="0" fontId="18" fillId="4" borderId="0" xfId="0" applyFont="1" applyFill="1"/>
    <xf numFmtId="0" fontId="19" fillId="0" borderId="0" xfId="0" applyFont="1"/>
    <xf numFmtId="0" fontId="17" fillId="8" borderId="0" xfId="0" applyFont="1" applyFill="1"/>
    <xf numFmtId="165" fontId="17" fillId="8" borderId="0" xfId="0" applyNumberFormat="1" applyFont="1" applyFill="1"/>
    <xf numFmtId="0" fontId="20" fillId="8" borderId="0" xfId="0" applyFont="1" applyFill="1"/>
    <xf numFmtId="0" fontId="21" fillId="0" borderId="0" xfId="0" applyFont="1"/>
    <xf numFmtId="0" fontId="22" fillId="0" borderId="0" xfId="0" applyFont="1"/>
    <xf numFmtId="0" fontId="23" fillId="4" borderId="0" xfId="0" applyFont="1" applyFill="1" applyAlignment="1">
      <alignment horizontal="left"/>
    </xf>
    <xf numFmtId="0" fontId="24" fillId="4" borderId="0" xfId="0" applyFont="1" applyFill="1" applyAlignment="1">
      <alignment horizontal="centerContinuous"/>
    </xf>
    <xf numFmtId="0" fontId="25" fillId="0" borderId="0" xfId="0" applyFont="1" applyAlignment="1">
      <alignment horizontal="center"/>
    </xf>
    <xf numFmtId="0" fontId="25" fillId="0" borderId="10" xfId="0" applyFont="1" applyBorder="1" applyAlignment="1">
      <alignment horizontal="center"/>
    </xf>
    <xf numFmtId="0" fontId="25" fillId="0" borderId="0" xfId="0" applyFont="1"/>
    <xf numFmtId="0" fontId="27" fillId="0" borderId="0" xfId="0" applyFont="1" applyAlignment="1">
      <alignment horizontal="left" indent="1"/>
    </xf>
    <xf numFmtId="0" fontId="26" fillId="0" borderId="0" xfId="0" applyFont="1"/>
    <xf numFmtId="0" fontId="28" fillId="0" borderId="0" xfId="0" applyFont="1" applyAlignment="1">
      <alignment horizontal="left" indent="1"/>
    </xf>
    <xf numFmtId="0" fontId="27" fillId="4" borderId="0" xfId="0" applyFont="1" applyFill="1" applyAlignment="1">
      <alignment horizontal="left" indent="1"/>
    </xf>
    <xf numFmtId="10" fontId="27" fillId="0" borderId="0" xfId="0" applyNumberFormat="1" applyFont="1"/>
    <xf numFmtId="0" fontId="25" fillId="0" borderId="8" xfId="0" applyFont="1" applyBorder="1"/>
    <xf numFmtId="10" fontId="28" fillId="0" borderId="0" xfId="0" applyNumberFormat="1" applyFont="1"/>
    <xf numFmtId="0" fontId="30" fillId="0" borderId="0" xfId="0" applyFont="1" applyAlignment="1">
      <alignment horizontal="left" indent="1"/>
    </xf>
    <xf numFmtId="0" fontId="31" fillId="0" borderId="0" xfId="0" applyFont="1" applyAlignment="1">
      <alignment horizontal="center"/>
    </xf>
    <xf numFmtId="0" fontId="32" fillId="0" borderId="0" xfId="0" applyFont="1"/>
    <xf numFmtId="0" fontId="33" fillId="0" borderId="0" xfId="0" applyFont="1"/>
    <xf numFmtId="0" fontId="26" fillId="0" borderId="0" xfId="0" applyFont="1" applyAlignment="1">
      <alignment horizontal="left" indent="1"/>
    </xf>
    <xf numFmtId="0" fontId="26" fillId="0" borderId="0" xfId="0" applyFont="1" applyAlignment="1">
      <alignment horizontal="left"/>
    </xf>
    <xf numFmtId="0" fontId="33" fillId="0" borderId="8" xfId="0" applyFont="1" applyBorder="1"/>
    <xf numFmtId="0" fontId="31" fillId="0" borderId="10" xfId="0" applyFont="1" applyBorder="1" applyAlignment="1">
      <alignment horizontal="center"/>
    </xf>
    <xf numFmtId="0" fontId="24" fillId="0" borderId="0" xfId="0" applyFont="1"/>
    <xf numFmtId="0" fontId="38" fillId="0" borderId="0" xfId="0" applyFont="1"/>
    <xf numFmtId="0" fontId="40" fillId="7" borderId="0" xfId="0" applyFont="1" applyFill="1"/>
    <xf numFmtId="0" fontId="38" fillId="0" borderId="7" xfId="0" applyFont="1" applyBorder="1" applyAlignment="1">
      <alignment horizontal="left" indent="1"/>
    </xf>
    <xf numFmtId="165" fontId="26" fillId="0" borderId="0" xfId="2" applyNumberFormat="1" applyFont="1" applyFill="1" applyBorder="1"/>
    <xf numFmtId="43" fontId="27" fillId="0" borderId="0" xfId="1" applyFont="1" applyFill="1" applyBorder="1"/>
    <xf numFmtId="0" fontId="41" fillId="0" borderId="0" xfId="0" applyFont="1"/>
    <xf numFmtId="0" fontId="42" fillId="7" borderId="0" xfId="0" applyFont="1" applyFill="1"/>
    <xf numFmtId="0" fontId="31" fillId="0" borderId="0" xfId="0" applyFont="1" applyAlignment="1" applyProtection="1">
      <alignment horizontal="center"/>
      <protection hidden="1"/>
    </xf>
    <xf numFmtId="0" fontId="31" fillId="0" borderId="1" xfId="0" applyFont="1" applyBorder="1" applyAlignment="1" applyProtection="1">
      <alignment vertical="center"/>
      <protection hidden="1"/>
    </xf>
    <xf numFmtId="0" fontId="24" fillId="0" borderId="0" xfId="0" applyFont="1" applyAlignment="1" applyProtection="1">
      <alignment vertical="center"/>
      <protection hidden="1"/>
    </xf>
    <xf numFmtId="0" fontId="31" fillId="0" borderId="2" xfId="0" applyFont="1" applyBorder="1" applyAlignment="1" applyProtection="1">
      <alignment vertical="center"/>
      <protection hidden="1"/>
    </xf>
    <xf numFmtId="0" fontId="38" fillId="0" borderId="6" xfId="0" applyFont="1" applyBorder="1" applyAlignment="1" applyProtection="1">
      <alignment vertical="center"/>
      <protection hidden="1"/>
    </xf>
    <xf numFmtId="0" fontId="31" fillId="0" borderId="0" xfId="0" applyFont="1" applyAlignment="1" applyProtection="1">
      <alignment vertical="center"/>
      <protection hidden="1"/>
    </xf>
    <xf numFmtId="0" fontId="24" fillId="0" borderId="0" xfId="0" applyFont="1" applyProtection="1">
      <protection hidden="1"/>
    </xf>
    <xf numFmtId="0" fontId="31" fillId="0" borderId="1" xfId="0" applyFont="1" applyBorder="1" applyProtection="1">
      <protection hidden="1"/>
    </xf>
    <xf numFmtId="0" fontId="31" fillId="0" borderId="0" xfId="0" applyFont="1" applyProtection="1">
      <protection hidden="1"/>
    </xf>
    <xf numFmtId="164" fontId="24" fillId="0" borderId="0" xfId="0" applyNumberFormat="1" applyFont="1" applyProtection="1">
      <protection hidden="1"/>
    </xf>
    <xf numFmtId="0" fontId="24" fillId="0" borderId="0" xfId="0" applyFont="1" applyAlignment="1" applyProtection="1">
      <alignment horizontal="centerContinuous"/>
      <protection hidden="1"/>
    </xf>
    <xf numFmtId="0" fontId="31" fillId="0" borderId="2" xfId="0" applyFont="1" applyBorder="1" applyProtection="1">
      <protection hidden="1"/>
    </xf>
    <xf numFmtId="0" fontId="31" fillId="0" borderId="6" xfId="0" applyFont="1" applyBorder="1" applyProtection="1">
      <protection hidden="1"/>
    </xf>
    <xf numFmtId="166" fontId="24" fillId="0" borderId="0" xfId="1" applyNumberFormat="1" applyFont="1" applyBorder="1" applyProtection="1">
      <protection hidden="1"/>
    </xf>
    <xf numFmtId="0" fontId="31" fillId="0" borderId="3" xfId="0" applyFont="1" applyBorder="1" applyProtection="1">
      <protection hidden="1"/>
    </xf>
    <xf numFmtId="0" fontId="43" fillId="0" borderId="0" xfId="0" applyFont="1" applyAlignment="1">
      <alignment horizontal="left" indent="1"/>
    </xf>
    <xf numFmtId="165" fontId="26" fillId="0" borderId="0" xfId="2" applyNumberFormat="1" applyFont="1" applyBorder="1" applyProtection="1">
      <protection hidden="1"/>
    </xf>
    <xf numFmtId="165" fontId="26" fillId="0" borderId="11" xfId="2" applyNumberFormat="1" applyFont="1" applyFill="1" applyBorder="1" applyProtection="1">
      <protection hidden="1"/>
    </xf>
    <xf numFmtId="43" fontId="27" fillId="0" borderId="0" xfId="1" applyFont="1" applyBorder="1" applyProtection="1">
      <protection hidden="1"/>
    </xf>
    <xf numFmtId="10" fontId="27" fillId="0" borderId="0" xfId="0" applyNumberFormat="1" applyFont="1" applyProtection="1">
      <protection hidden="1"/>
    </xf>
    <xf numFmtId="43" fontId="27" fillId="0" borderId="11" xfId="1" applyFont="1" applyBorder="1" applyProtection="1">
      <protection hidden="1"/>
    </xf>
    <xf numFmtId="165" fontId="26" fillId="0" borderId="11" xfId="2" applyNumberFormat="1" applyFont="1" applyBorder="1" applyProtection="1">
      <protection hidden="1"/>
    </xf>
    <xf numFmtId="10" fontId="28" fillId="0" borderId="0" xfId="0" applyNumberFormat="1" applyFont="1" applyProtection="1">
      <protection hidden="1"/>
    </xf>
    <xf numFmtId="10" fontId="28" fillId="0" borderId="11" xfId="0" applyNumberFormat="1" applyFont="1" applyBorder="1" applyProtection="1">
      <protection hidden="1"/>
    </xf>
    <xf numFmtId="10" fontId="27" fillId="4" borderId="0" xfId="0" applyNumberFormat="1" applyFont="1" applyFill="1" applyProtection="1">
      <protection hidden="1"/>
    </xf>
    <xf numFmtId="10" fontId="27" fillId="4" borderId="11" xfId="0" applyNumberFormat="1" applyFont="1" applyFill="1" applyBorder="1" applyProtection="1">
      <protection hidden="1"/>
    </xf>
    <xf numFmtId="10" fontId="27" fillId="0" borderId="11" xfId="0" applyNumberFormat="1" applyFont="1" applyBorder="1" applyProtection="1">
      <protection hidden="1"/>
    </xf>
    <xf numFmtId="165" fontId="25" fillId="0" borderId="5" xfId="2" applyNumberFormat="1" applyFont="1" applyBorder="1" applyProtection="1">
      <protection hidden="1"/>
    </xf>
    <xf numFmtId="165" fontId="25" fillId="0" borderId="7" xfId="2" applyNumberFormat="1" applyFont="1" applyBorder="1" applyProtection="1">
      <protection hidden="1"/>
    </xf>
    <xf numFmtId="165" fontId="25" fillId="0" borderId="0" xfId="2" applyNumberFormat="1" applyFont="1" applyBorder="1" applyProtection="1">
      <protection hidden="1"/>
    </xf>
    <xf numFmtId="165" fontId="25" fillId="0" borderId="11" xfId="2" applyNumberFormat="1" applyFont="1" applyBorder="1" applyProtection="1">
      <protection hidden="1"/>
    </xf>
    <xf numFmtId="164" fontId="29" fillId="0" borderId="0" xfId="0" applyNumberFormat="1" applyFont="1" applyProtection="1">
      <protection hidden="1"/>
    </xf>
    <xf numFmtId="164" fontId="29" fillId="0" borderId="11" xfId="0" applyNumberFormat="1" applyFont="1" applyBorder="1" applyProtection="1">
      <protection hidden="1"/>
    </xf>
    <xf numFmtId="164" fontId="30" fillId="0" borderId="0" xfId="0" applyNumberFormat="1" applyFont="1" applyProtection="1">
      <protection hidden="1"/>
    </xf>
    <xf numFmtId="164" fontId="30" fillId="0" borderId="11" xfId="0" applyNumberFormat="1" applyFont="1" applyBorder="1" applyProtection="1">
      <protection hidden="1"/>
    </xf>
    <xf numFmtId="10" fontId="28" fillId="0" borderId="12" xfId="0" applyNumberFormat="1" applyFont="1" applyBorder="1" applyProtection="1">
      <protection hidden="1"/>
    </xf>
    <xf numFmtId="9" fontId="33" fillId="0" borderId="9" xfId="0" applyNumberFormat="1" applyFont="1" applyBorder="1" applyProtection="1">
      <protection hidden="1"/>
    </xf>
    <xf numFmtId="0" fontId="25" fillId="9" borderId="7" xfId="0" applyFont="1" applyFill="1" applyBorder="1" applyAlignment="1">
      <alignment horizontal="center"/>
    </xf>
    <xf numFmtId="0" fontId="31" fillId="10" borderId="7" xfId="0" applyFont="1" applyFill="1" applyBorder="1"/>
    <xf numFmtId="0" fontId="17" fillId="8" borderId="0" xfId="0" applyFont="1" applyFill="1" applyProtection="1">
      <protection hidden="1"/>
    </xf>
    <xf numFmtId="0" fontId="20" fillId="8" borderId="0" xfId="0" applyFont="1" applyFill="1" applyProtection="1">
      <protection hidden="1"/>
    </xf>
    <xf numFmtId="0" fontId="16" fillId="0" borderId="0" xfId="0" applyFont="1" applyProtection="1">
      <protection hidden="1"/>
    </xf>
    <xf numFmtId="165" fontId="17" fillId="8" borderId="0" xfId="0" applyNumberFormat="1" applyFont="1" applyFill="1" applyProtection="1">
      <protection hidden="1"/>
    </xf>
    <xf numFmtId="165" fontId="16" fillId="0" borderId="0" xfId="0" applyNumberFormat="1" applyFont="1" applyProtection="1">
      <protection hidden="1"/>
    </xf>
    <xf numFmtId="0" fontId="23" fillId="4" borderId="0" xfId="0" applyFont="1" applyFill="1" applyAlignment="1" applyProtection="1">
      <alignment horizontal="left"/>
      <protection hidden="1"/>
    </xf>
    <xf numFmtId="0" fontId="24" fillId="4" borderId="0" xfId="0" applyFont="1" applyFill="1" applyAlignment="1" applyProtection="1">
      <alignment horizontal="centerContinuous"/>
      <protection hidden="1"/>
    </xf>
    <xf numFmtId="0" fontId="23" fillId="0" borderId="0" xfId="0" applyFont="1" applyAlignment="1" applyProtection="1">
      <alignment horizontal="left"/>
      <protection hidden="1"/>
    </xf>
    <xf numFmtId="165" fontId="24" fillId="0" borderId="1" xfId="2" applyNumberFormat="1" applyFont="1" applyBorder="1" applyAlignment="1" applyProtection="1">
      <alignment vertical="center"/>
      <protection locked="0" hidden="1"/>
    </xf>
    <xf numFmtId="9" fontId="24" fillId="0" borderId="0" xfId="3" applyFont="1" applyBorder="1" applyAlignment="1" applyProtection="1">
      <alignment vertical="center"/>
      <protection locked="0" hidden="1"/>
    </xf>
    <xf numFmtId="0" fontId="24" fillId="0" borderId="0" xfId="0" applyFont="1" applyAlignment="1" applyProtection="1">
      <alignment vertical="center"/>
      <protection locked="0" hidden="1"/>
    </xf>
    <xf numFmtId="165" fontId="24" fillId="0" borderId="2" xfId="2" applyNumberFormat="1" applyFont="1" applyBorder="1" applyAlignment="1" applyProtection="1">
      <alignment vertical="center"/>
      <protection locked="0" hidden="1"/>
    </xf>
    <xf numFmtId="9" fontId="38" fillId="0" borderId="6" xfId="0" applyNumberFormat="1" applyFont="1" applyBorder="1" applyAlignment="1" applyProtection="1">
      <alignment vertical="center"/>
      <protection locked="0" hidden="1"/>
    </xf>
    <xf numFmtId="164" fontId="31" fillId="0" borderId="1" xfId="0" applyNumberFormat="1" applyFont="1" applyBorder="1" applyAlignment="1" applyProtection="1">
      <alignment horizontal="centerContinuous"/>
      <protection locked="0" hidden="1"/>
    </xf>
    <xf numFmtId="164" fontId="31" fillId="0" borderId="3" xfId="3" applyNumberFormat="1" applyFont="1" applyBorder="1" applyAlignment="1" applyProtection="1">
      <alignment horizontal="center"/>
      <protection locked="0" hidden="1"/>
    </xf>
    <xf numFmtId="164" fontId="31" fillId="0" borderId="0" xfId="3" applyNumberFormat="1" applyFont="1" applyBorder="1" applyAlignment="1" applyProtection="1">
      <alignment horizontal="center"/>
      <protection locked="0" hidden="1"/>
    </xf>
    <xf numFmtId="164" fontId="31" fillId="0" borderId="2" xfId="3" applyNumberFormat="1" applyFont="1" applyBorder="1" applyAlignment="1" applyProtection="1">
      <alignment horizontal="center"/>
      <protection locked="0" hidden="1"/>
    </xf>
    <xf numFmtId="164" fontId="31" fillId="0" borderId="6" xfId="3" applyNumberFormat="1" applyFont="1" applyBorder="1" applyAlignment="1" applyProtection="1">
      <alignment horizontal="center"/>
      <protection locked="0" hidden="1"/>
    </xf>
    <xf numFmtId="166" fontId="31" fillId="0" borderId="1" xfId="1" applyNumberFormat="1" applyFont="1" applyBorder="1" applyProtection="1">
      <protection locked="0" hidden="1"/>
    </xf>
    <xf numFmtId="0" fontId="25" fillId="0" borderId="15" xfId="0" applyFont="1" applyBorder="1"/>
    <xf numFmtId="165" fontId="32" fillId="0" borderId="0" xfId="2" applyNumberFormat="1" applyFont="1" applyProtection="1">
      <protection hidden="1"/>
    </xf>
    <xf numFmtId="165" fontId="32" fillId="0" borderId="11" xfId="2" applyNumberFormat="1" applyFont="1" applyBorder="1" applyProtection="1">
      <protection hidden="1"/>
    </xf>
    <xf numFmtId="165" fontId="32" fillId="0" borderId="0" xfId="0" applyNumberFormat="1" applyFont="1" applyProtection="1">
      <protection hidden="1"/>
    </xf>
    <xf numFmtId="165" fontId="32" fillId="0" borderId="11" xfId="0" applyNumberFormat="1" applyFont="1" applyBorder="1" applyProtection="1">
      <protection hidden="1"/>
    </xf>
    <xf numFmtId="165" fontId="32" fillId="0" borderId="0" xfId="2" applyNumberFormat="1" applyFont="1" applyBorder="1" applyProtection="1">
      <protection hidden="1"/>
    </xf>
    <xf numFmtId="165" fontId="32" fillId="0" borderId="0" xfId="1" applyNumberFormat="1" applyFont="1" applyBorder="1" applyProtection="1">
      <protection hidden="1"/>
    </xf>
    <xf numFmtId="165" fontId="33" fillId="0" borderId="1" xfId="2" applyNumberFormat="1" applyFont="1" applyBorder="1" applyProtection="1">
      <protection hidden="1"/>
    </xf>
    <xf numFmtId="165" fontId="33" fillId="0" borderId="16" xfId="2" applyNumberFormat="1" applyFont="1" applyBorder="1" applyProtection="1">
      <protection hidden="1"/>
    </xf>
    <xf numFmtId="165" fontId="24" fillId="0" borderId="0" xfId="0" applyNumberFormat="1" applyFont="1" applyProtection="1">
      <protection hidden="1"/>
    </xf>
    <xf numFmtId="165" fontId="24" fillId="0" borderId="11" xfId="0" applyNumberFormat="1" applyFont="1" applyBorder="1" applyProtection="1">
      <protection hidden="1"/>
    </xf>
    <xf numFmtId="0" fontId="25" fillId="11" borderId="0" xfId="0" applyFont="1" applyFill="1" applyAlignment="1" applyProtection="1">
      <alignment horizontal="centerContinuous"/>
      <protection hidden="1"/>
    </xf>
    <xf numFmtId="0" fontId="26" fillId="11" borderId="0" xfId="0" applyFont="1" applyFill="1" applyAlignment="1" applyProtection="1">
      <alignment horizontal="centerContinuous"/>
      <protection hidden="1"/>
    </xf>
    <xf numFmtId="10" fontId="0" fillId="0" borderId="0" xfId="0" applyNumberFormat="1"/>
    <xf numFmtId="0" fontId="0" fillId="0" borderId="0" xfId="0" quotePrefix="1"/>
    <xf numFmtId="0" fontId="44" fillId="0" borderId="0" xfId="0" applyFont="1"/>
    <xf numFmtId="0" fontId="45" fillId="0" borderId="0" xfId="0" applyFont="1"/>
    <xf numFmtId="44" fontId="0" fillId="0" borderId="0" xfId="0" applyNumberFormat="1" applyProtection="1">
      <protection hidden="1"/>
    </xf>
    <xf numFmtId="9" fontId="25" fillId="0" borderId="0" xfId="3" applyFont="1" applyBorder="1" applyProtection="1">
      <protection hidden="1"/>
    </xf>
    <xf numFmtId="9" fontId="38" fillId="0" borderId="6" xfId="3" applyFont="1" applyBorder="1" applyAlignment="1" applyProtection="1">
      <alignment vertical="center"/>
      <protection locked="0" hidden="1"/>
    </xf>
    <xf numFmtId="9" fontId="38" fillId="0" borderId="6" xfId="3" applyFont="1" applyFill="1" applyBorder="1" applyAlignment="1" applyProtection="1">
      <alignment vertical="center"/>
      <protection locked="0" hidden="1"/>
    </xf>
    <xf numFmtId="0" fontId="25" fillId="9" borderId="12" xfId="0" applyFont="1" applyFill="1" applyBorder="1" applyAlignment="1">
      <alignment horizontal="center"/>
    </xf>
    <xf numFmtId="0" fontId="31" fillId="10" borderId="11" xfId="0" applyFont="1" applyFill="1" applyBorder="1"/>
    <xf numFmtId="0" fontId="38" fillId="0" borderId="11" xfId="0" applyFont="1" applyBorder="1" applyAlignment="1">
      <alignment horizontal="left" indent="1"/>
    </xf>
    <xf numFmtId="0" fontId="31" fillId="10" borderId="12" xfId="0" applyFont="1" applyFill="1" applyBorder="1"/>
    <xf numFmtId="44" fontId="32" fillId="0" borderId="0" xfId="2" applyFont="1" applyProtection="1">
      <protection hidden="1"/>
    </xf>
    <xf numFmtId="165" fontId="0" fillId="0" borderId="0" xfId="0" applyNumberFormat="1"/>
    <xf numFmtId="165" fontId="26" fillId="0" borderId="0" xfId="2" applyNumberFormat="1" applyFont="1" applyFill="1" applyBorder="1" applyProtection="1">
      <protection hidden="1"/>
    </xf>
    <xf numFmtId="165" fontId="25" fillId="0" borderId="5" xfId="2" applyNumberFormat="1" applyFont="1" applyFill="1" applyBorder="1" applyProtection="1">
      <protection hidden="1"/>
    </xf>
    <xf numFmtId="165" fontId="32" fillId="0" borderId="19" xfId="0" applyNumberFormat="1" applyFont="1" applyBorder="1" applyProtection="1">
      <protection hidden="1"/>
    </xf>
    <xf numFmtId="0" fontId="35" fillId="0" borderId="0" xfId="0" applyFont="1" applyAlignment="1">
      <alignment horizontal="left" vertical="top" wrapText="1"/>
    </xf>
    <xf numFmtId="0" fontId="34" fillId="0" borderId="0" xfId="0" applyFont="1" applyAlignment="1">
      <alignment horizontal="left" vertical="top" wrapText="1"/>
    </xf>
    <xf numFmtId="168" fontId="37" fillId="0" borderId="8" xfId="3" applyNumberFormat="1" applyFont="1" applyFill="1" applyBorder="1" applyAlignment="1">
      <alignment horizontal="center"/>
    </xf>
    <xf numFmtId="168" fontId="37" fillId="0" borderId="9" xfId="3" applyNumberFormat="1" applyFont="1" applyFill="1" applyBorder="1" applyAlignment="1">
      <alignment horizontal="center"/>
    </xf>
    <xf numFmtId="0" fontId="25" fillId="9" borderId="7" xfId="0" applyFont="1" applyFill="1" applyBorder="1" applyAlignment="1">
      <alignment horizontal="center"/>
    </xf>
    <xf numFmtId="168" fontId="24" fillId="0" borderId="8" xfId="3" applyNumberFormat="1" applyFont="1" applyFill="1" applyBorder="1" applyAlignment="1" applyProtection="1">
      <alignment horizontal="center"/>
      <protection locked="0"/>
    </xf>
    <xf numFmtId="168" fontId="24" fillId="0" borderId="9" xfId="3" applyNumberFormat="1" applyFont="1" applyFill="1" applyBorder="1" applyAlignment="1" applyProtection="1">
      <alignment horizontal="center"/>
      <protection locked="0"/>
    </xf>
    <xf numFmtId="168" fontId="24" fillId="0" borderId="8" xfId="3" applyNumberFormat="1" applyFont="1" applyBorder="1" applyAlignment="1" applyProtection="1">
      <alignment horizontal="center"/>
      <protection locked="0"/>
    </xf>
    <xf numFmtId="168" fontId="24" fillId="0" borderId="9" xfId="3" applyNumberFormat="1" applyFont="1" applyBorder="1" applyAlignment="1" applyProtection="1">
      <alignment horizontal="center"/>
      <protection locked="0"/>
    </xf>
    <xf numFmtId="0" fontId="24" fillId="0" borderId="0" xfId="0" applyFont="1" applyAlignment="1" applyProtection="1">
      <alignment horizontal="center"/>
      <protection hidden="1"/>
    </xf>
    <xf numFmtId="0" fontId="24" fillId="0" borderId="13" xfId="0" applyFont="1" applyBorder="1" applyAlignment="1" applyProtection="1">
      <alignment horizontal="center"/>
      <protection hidden="1"/>
    </xf>
    <xf numFmtId="0" fontId="25" fillId="11" borderId="0" xfId="0" applyFont="1" applyFill="1" applyAlignment="1" applyProtection="1">
      <alignment horizontal="center"/>
      <protection hidden="1"/>
    </xf>
    <xf numFmtId="0" fontId="25" fillId="11" borderId="17" xfId="0" applyFont="1" applyFill="1" applyBorder="1" applyAlignment="1" applyProtection="1">
      <alignment horizontal="center"/>
      <protection hidden="1"/>
    </xf>
    <xf numFmtId="0" fontId="26" fillId="11" borderId="3" xfId="0" applyFont="1" applyFill="1" applyBorder="1" applyAlignment="1" applyProtection="1">
      <alignment horizontal="center"/>
      <protection hidden="1"/>
    </xf>
    <xf numFmtId="0" fontId="26" fillId="11" borderId="18" xfId="0" applyFont="1" applyFill="1" applyBorder="1" applyAlignment="1" applyProtection="1">
      <alignment horizontal="center"/>
      <protection hidden="1"/>
    </xf>
    <xf numFmtId="0" fontId="25" fillId="9" borderId="4" xfId="0" applyFont="1" applyFill="1" applyBorder="1" applyAlignment="1">
      <alignment horizontal="center"/>
    </xf>
    <xf numFmtId="0" fontId="25" fillId="9" borderId="14" xfId="0" applyFont="1" applyFill="1" applyBorder="1" applyAlignment="1">
      <alignment horizontal="center"/>
    </xf>
    <xf numFmtId="0" fontId="37" fillId="0" borderId="0" xfId="0" applyFont="1" applyAlignment="1" applyProtection="1">
      <alignment horizontal="center"/>
      <protection hidden="1"/>
    </xf>
    <xf numFmtId="0" fontId="37" fillId="0" borderId="13" xfId="0" applyFont="1" applyBorder="1" applyAlignment="1" applyProtection="1">
      <alignment horizontal="center"/>
      <protection hidden="1"/>
    </xf>
    <xf numFmtId="0" fontId="24" fillId="0" borderId="4" xfId="0" applyFont="1" applyBorder="1" applyAlignment="1" applyProtection="1">
      <alignment horizontal="center"/>
      <protection hidden="1"/>
    </xf>
    <xf numFmtId="0" fontId="24" fillId="0" borderId="14" xfId="0" applyFont="1" applyBorder="1" applyAlignment="1" applyProtection="1">
      <alignment horizontal="center"/>
      <protection hidden="1"/>
    </xf>
    <xf numFmtId="0" fontId="38" fillId="0" borderId="0" xfId="0" applyFont="1" applyAlignment="1" applyProtection="1">
      <alignment horizontal="left" vertical="center" wrapText="1" indent="1"/>
      <protection hidden="1"/>
    </xf>
    <xf numFmtId="0" fontId="2" fillId="0" borderId="0" xfId="0" applyFont="1" applyAlignment="1">
      <alignment horizontal="center"/>
    </xf>
  </cellXfs>
  <cellStyles count="4">
    <cellStyle name="Comma" xfId="1" builtinId="3"/>
    <cellStyle name="Currency" xfId="2" builtinId="4"/>
    <cellStyle name="Normal" xfId="0" builtinId="0"/>
    <cellStyle name="Per cent" xfId="3" builtinId="5"/>
  </cellStyles>
  <dxfs count="2">
    <dxf>
      <font>
        <color auto="1"/>
      </font>
    </dxf>
    <dxf>
      <font>
        <color theme="3"/>
      </font>
      <fill>
        <patternFill>
          <bgColor theme="4" tint="0.79998168889431442"/>
        </patternFill>
      </fill>
    </dxf>
  </dxfs>
  <tableStyles count="1" defaultTableStyle="TableStyleMedium2" defaultPivotStyle="PivotStyleMedium9">
    <tableStyle name="Invisible" pivot="0" table="0" count="0" xr9:uid="{DC3C5F0E-01A7-4E51-A3D2-2649DBF805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0</xdr:col>
      <xdr:colOff>667584</xdr:colOff>
      <xdr:row>9</xdr:row>
      <xdr:rowOff>35140</xdr:rowOff>
    </xdr:to>
    <xdr:pic>
      <xdr:nvPicPr>
        <xdr:cNvPr id="2" name="Picture 1">
          <a:extLst>
            <a:ext uri="{FF2B5EF4-FFF2-40B4-BE49-F238E27FC236}">
              <a16:creationId xmlns:a16="http://schemas.microsoft.com/office/drawing/2014/main" id="{0F5FC051-93A1-4739-BCB9-1C352B8B2101}"/>
            </a:ext>
            <a:ext uri="{147F2762-F138-4A5C-976F-8EAC2B608ADB}">
              <a16:predDERef xmlns:a16="http://schemas.microsoft.com/office/drawing/2014/main" pred="{8B0EDFC3-B73F-4F72-93AE-802A01563904}"/>
            </a:ext>
          </a:extLst>
        </xdr:cNvPr>
        <xdr:cNvPicPr>
          <a:picLocks noChangeAspect="1" noChangeArrowheads="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rcRect/>
        <a:stretch>
          <a:fillRect/>
        </a:stretch>
      </xdr:blipFill>
      <xdr:spPr bwMode="auto">
        <a:xfrm rot="5400000">
          <a:off x="-1954538" y="2573663"/>
          <a:ext cx="4572850" cy="663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15</xdr:col>
      <xdr:colOff>76200</xdr:colOff>
      <xdr:row>3</xdr:row>
      <xdr:rowOff>60860</xdr:rowOff>
    </xdr:to>
    <xdr:pic>
      <xdr:nvPicPr>
        <xdr:cNvPr id="3" name="Picture 2">
          <a:extLst>
            <a:ext uri="{FF2B5EF4-FFF2-40B4-BE49-F238E27FC236}">
              <a16:creationId xmlns:a16="http://schemas.microsoft.com/office/drawing/2014/main" id="{5560916A-45C4-4AFF-9539-FC64F57600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73150" y="0"/>
          <a:ext cx="1200150" cy="75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25823</xdr:rowOff>
    </xdr:from>
    <xdr:to>
      <xdr:col>0</xdr:col>
      <xdr:colOff>663774</xdr:colOff>
      <xdr:row>28</xdr:row>
      <xdr:rowOff>3</xdr:rowOff>
    </xdr:to>
    <xdr:pic>
      <xdr:nvPicPr>
        <xdr:cNvPr id="2" name="Picture 1">
          <a:extLst>
            <a:ext uri="{FF2B5EF4-FFF2-40B4-BE49-F238E27FC236}">
              <a16:creationId xmlns:a16="http://schemas.microsoft.com/office/drawing/2014/main" id="{4986BD3F-169D-4843-9227-23D0A1306EDA}"/>
            </a:ext>
            <a:ext uri="{147F2762-F138-4A5C-976F-8EAC2B608ADB}">
              <a16:predDERef xmlns:a16="http://schemas.microsoft.com/office/drawing/2014/main" pred="{8B0EDFC3-B73F-4F72-93AE-802A01563904}"/>
            </a:ext>
          </a:extLst>
        </xdr:cNvPr>
        <xdr:cNvPicPr>
          <a:picLocks noChangeAspect="1" noChangeArrowheads="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rcRect/>
        <a:stretch>
          <a:fillRect/>
        </a:stretch>
      </xdr:blipFill>
      <xdr:spPr bwMode="auto">
        <a:xfrm rot="5400000">
          <a:off x="-1956443" y="2588056"/>
          <a:ext cx="4576660" cy="663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571500</xdr:colOff>
      <xdr:row>0</xdr:row>
      <xdr:rowOff>0</xdr:rowOff>
    </xdr:from>
    <xdr:to>
      <xdr:col>15</xdr:col>
      <xdr:colOff>0</xdr:colOff>
      <xdr:row>3</xdr:row>
      <xdr:rowOff>56415</xdr:rowOff>
    </xdr:to>
    <xdr:pic>
      <xdr:nvPicPr>
        <xdr:cNvPr id="3" name="Picture 2">
          <a:extLst>
            <a:ext uri="{FF2B5EF4-FFF2-40B4-BE49-F238E27FC236}">
              <a16:creationId xmlns:a16="http://schemas.microsoft.com/office/drawing/2014/main" id="{B99BD401-333A-4D18-B13B-A605699A3B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63600" y="0"/>
          <a:ext cx="1200150" cy="75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25823</xdr:rowOff>
    </xdr:from>
    <xdr:to>
      <xdr:col>0</xdr:col>
      <xdr:colOff>663774</xdr:colOff>
      <xdr:row>36</xdr:row>
      <xdr:rowOff>74933</xdr:rowOff>
    </xdr:to>
    <xdr:pic>
      <xdr:nvPicPr>
        <xdr:cNvPr id="6" name="Picture 1">
          <a:extLst>
            <a:ext uri="{FF2B5EF4-FFF2-40B4-BE49-F238E27FC236}">
              <a16:creationId xmlns:a16="http://schemas.microsoft.com/office/drawing/2014/main" id="{C73863E3-999D-4C75-9388-C2C04C7C0131}"/>
            </a:ext>
            <a:ext uri="{147F2762-F138-4A5C-976F-8EAC2B608ADB}">
              <a16:predDERef xmlns:a16="http://schemas.microsoft.com/office/drawing/2014/main" pred="{8B0EDFC3-B73F-4F72-93AE-802A01563904}"/>
            </a:ext>
          </a:extLst>
        </xdr:cNvPr>
        <xdr:cNvPicPr>
          <a:picLocks noChangeAspect="1" noChangeArrowheads="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rcRect/>
        <a:stretch>
          <a:fillRect/>
        </a:stretch>
      </xdr:blipFill>
      <xdr:spPr bwMode="auto">
        <a:xfrm rot="5400000">
          <a:off x="-1956443" y="2591866"/>
          <a:ext cx="4572850" cy="659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19685</xdr:colOff>
      <xdr:row>0</xdr:row>
      <xdr:rowOff>0</xdr:rowOff>
    </xdr:from>
    <xdr:to>
      <xdr:col>14</xdr:col>
      <xdr:colOff>17145</xdr:colOff>
      <xdr:row>4</xdr:row>
      <xdr:rowOff>53875</xdr:rowOff>
    </xdr:to>
    <xdr:pic>
      <xdr:nvPicPr>
        <xdr:cNvPr id="2" name="Picture 1">
          <a:extLst>
            <a:ext uri="{FF2B5EF4-FFF2-40B4-BE49-F238E27FC236}">
              <a16:creationId xmlns:a16="http://schemas.microsoft.com/office/drawing/2014/main" id="{076D3B7F-57AA-4693-BCA7-0AE9CD476D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576165" y="0"/>
          <a:ext cx="1287780" cy="74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11430</xdr:rowOff>
    </xdr:from>
    <xdr:to>
      <xdr:col>0</xdr:col>
      <xdr:colOff>669489</xdr:colOff>
      <xdr:row>31</xdr:row>
      <xdr:rowOff>850</xdr:rowOff>
    </xdr:to>
    <xdr:pic>
      <xdr:nvPicPr>
        <xdr:cNvPr id="4" name="Picture 1">
          <a:extLst>
            <a:ext uri="{FF2B5EF4-FFF2-40B4-BE49-F238E27FC236}">
              <a16:creationId xmlns:a16="http://schemas.microsoft.com/office/drawing/2014/main" id="{E07D9715-9793-47E3-BC80-D5446F5E842E}"/>
            </a:ext>
            <a:ext uri="{147F2762-F138-4A5C-976F-8EAC2B608ADB}">
              <a16:predDERef xmlns:a16="http://schemas.microsoft.com/office/drawing/2014/main" pred="{8B0EDFC3-B73F-4F72-93AE-802A01563904}"/>
            </a:ext>
          </a:extLst>
        </xdr:cNvPr>
        <xdr:cNvPicPr>
          <a:picLocks noChangeAspect="1" noChangeArrowheads="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rcRect/>
        <a:stretch>
          <a:fillRect/>
        </a:stretch>
      </xdr:blipFill>
      <xdr:spPr bwMode="auto">
        <a:xfrm rot="5400000">
          <a:off x="-1950728" y="2571758"/>
          <a:ext cx="4570945" cy="669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0</xdr:row>
      <xdr:rowOff>0</xdr:rowOff>
    </xdr:from>
    <xdr:to>
      <xdr:col>14</xdr:col>
      <xdr:colOff>16510</xdr:colOff>
      <xdr:row>3</xdr:row>
      <xdr:rowOff>57685</xdr:rowOff>
    </xdr:to>
    <xdr:pic>
      <xdr:nvPicPr>
        <xdr:cNvPr id="3" name="Picture 2">
          <a:extLst>
            <a:ext uri="{FF2B5EF4-FFF2-40B4-BE49-F238E27FC236}">
              <a16:creationId xmlns:a16="http://schemas.microsoft.com/office/drawing/2014/main" id="{9F13A60D-5C16-42D2-A6D9-2059770BFB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556480" y="0"/>
          <a:ext cx="1287780" cy="74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11429</xdr:rowOff>
    </xdr:from>
    <xdr:to>
      <xdr:col>0</xdr:col>
      <xdr:colOff>669489</xdr:colOff>
      <xdr:row>28</xdr:row>
      <xdr:rowOff>214</xdr:rowOff>
    </xdr:to>
    <xdr:pic>
      <xdr:nvPicPr>
        <xdr:cNvPr id="2" name="Picture 1">
          <a:extLst>
            <a:ext uri="{FF2B5EF4-FFF2-40B4-BE49-F238E27FC236}">
              <a16:creationId xmlns:a16="http://schemas.microsoft.com/office/drawing/2014/main" id="{870ABD62-04DF-400B-A6FF-4CA90EA60738}"/>
            </a:ext>
            <a:ext uri="{147F2762-F138-4A5C-976F-8EAC2B608ADB}">
              <a16:predDERef xmlns:a16="http://schemas.microsoft.com/office/drawing/2014/main" pred="{8B0EDFC3-B73F-4F72-93AE-802A01563904}"/>
            </a:ext>
          </a:extLst>
        </xdr:cNvPr>
        <xdr:cNvPicPr>
          <a:picLocks noChangeAspect="1" noChangeArrowheads="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rcRect/>
        <a:stretch>
          <a:fillRect/>
        </a:stretch>
      </xdr:blipFill>
      <xdr:spPr bwMode="auto">
        <a:xfrm rot="5400000">
          <a:off x="-1951680" y="2572709"/>
          <a:ext cx="4569040" cy="66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38100</xdr:colOff>
      <xdr:row>0</xdr:row>
      <xdr:rowOff>0</xdr:rowOff>
    </xdr:from>
    <xdr:to>
      <xdr:col>15</xdr:col>
      <xdr:colOff>58420</xdr:colOff>
      <xdr:row>3</xdr:row>
      <xdr:rowOff>64670</xdr:rowOff>
    </xdr:to>
    <xdr:pic>
      <xdr:nvPicPr>
        <xdr:cNvPr id="3" name="Picture 2">
          <a:extLst>
            <a:ext uri="{FF2B5EF4-FFF2-40B4-BE49-F238E27FC236}">
              <a16:creationId xmlns:a16="http://schemas.microsoft.com/office/drawing/2014/main" id="{1896DC58-A0C1-C074-01E5-4393255A63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79880" y="0"/>
          <a:ext cx="1257300" cy="74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ugan, Jenna [JJCUS]" id="{7604B20B-9A3C-4AB9-84E8-8C9F3896AC10}" userId="S::jdugan3@its.jnj.com::8af45e30-0ac1-4588-8068-103ca5d93c0e" providerId="AD"/>
</personList>
</file>

<file path=xl/theme/theme1.xml><?xml version="1.0" encoding="utf-8"?>
<a:theme xmlns:a="http://schemas.openxmlformats.org/drawingml/2006/main" name="J&amp;J excel Theme">
  <a:themeElements>
    <a:clrScheme name="J&amp;J NEW">
      <a:dk1>
        <a:srgbClr val="000000"/>
      </a:dk1>
      <a:lt1>
        <a:srgbClr val="FFFFFF"/>
      </a:lt1>
      <a:dk2>
        <a:srgbClr val="EB1700"/>
      </a:dk2>
      <a:lt2>
        <a:srgbClr val="564C47"/>
      </a:lt2>
      <a:accent1>
        <a:srgbClr val="EB1700"/>
      </a:accent1>
      <a:accent2>
        <a:srgbClr val="000000"/>
      </a:accent2>
      <a:accent3>
        <a:srgbClr val="C4BDB6"/>
      </a:accent3>
      <a:accent4>
        <a:srgbClr val="004686"/>
      </a:accent4>
      <a:accent5>
        <a:srgbClr val="68D2FF"/>
      </a:accent5>
      <a:accent6>
        <a:srgbClr val="541981"/>
      </a:accent6>
      <a:hlink>
        <a:srgbClr val="000000"/>
      </a:hlink>
      <a:folHlink>
        <a:srgbClr val="00000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8" dT="2025-08-27T19:42:27.78" personId="{7604B20B-9A3C-4AB9-84E8-8C9F3896AC10}" id="{25EAF0A1-5A09-4E8B-96E9-28A5076472AD}">
    <text>check WWP if we can amortize IP</text>
  </threadedComment>
  <threadedComment ref="A31" dT="2025-08-27T19:44:51.31" personId="{7604B20B-9A3C-4AB9-84E8-8C9F3896AC10}" id="{D98A9260-CC67-45A0-8E4F-C88989235400}">
    <text>delete black boxes once confirmed it's not affecting formulas</text>
  </threadedComment>
  <threadedComment ref="D43" dT="2025-08-27T19:46:08.25" personId="{7604B20B-9A3C-4AB9-84E8-8C9F3896AC10}" id="{9DC6055F-4052-441D-86DA-FECC419ADDAB}">
    <text>Ilaay to update timing</text>
  </threadedComment>
  <threadedComment ref="D44" dT="2025-08-27T19:47:26.52" personId="{7604B20B-9A3C-4AB9-84E8-8C9F3896AC10}" id="{514047D5-5C17-43C5-925A-270184FC597D}">
    <text>timing to be updated: wing 1 operational year 1, wing two operational year 2/3</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C5C98-BC84-46A6-95B6-60F9A2923409}">
  <sheetPr codeName="Sheet1">
    <tabColor theme="6" tint="0.79998168889431442"/>
  </sheetPr>
  <dimension ref="A1:O21"/>
  <sheetViews>
    <sheetView showGridLines="0" showRowColHeaders="0" workbookViewId="0">
      <selection activeCell="B8" sqref="B8:G8"/>
    </sheetView>
  </sheetViews>
  <sheetFormatPr defaultRowHeight="14.45"/>
  <cols>
    <col min="1" max="1" width="11" customWidth="1"/>
    <col min="2" max="2" width="38.7109375" customWidth="1"/>
    <col min="3" max="8" width="18.28515625" customWidth="1"/>
  </cols>
  <sheetData>
    <row r="1" spans="1:15" s="40" customFormat="1" ht="24">
      <c r="A1" s="47"/>
      <c r="B1" s="49" t="s">
        <v>0</v>
      </c>
      <c r="C1" s="47"/>
      <c r="D1" s="47"/>
      <c r="E1" s="47"/>
      <c r="F1" s="47"/>
      <c r="G1" s="47"/>
      <c r="H1" s="47"/>
      <c r="I1" s="47"/>
      <c r="J1" s="47"/>
      <c r="K1" s="47"/>
      <c r="L1" s="47"/>
      <c r="M1" s="47"/>
      <c r="N1" s="47"/>
      <c r="O1" s="47"/>
    </row>
    <row r="2" spans="1:15" s="40" customFormat="1" ht="24">
      <c r="A2" s="48"/>
      <c r="B2" s="49" t="s">
        <v>1</v>
      </c>
      <c r="C2" s="47"/>
      <c r="D2" s="47"/>
      <c r="E2" s="47"/>
      <c r="F2" s="47"/>
      <c r="G2" s="47"/>
      <c r="H2" s="47"/>
      <c r="I2" s="47"/>
      <c r="J2" s="47"/>
      <c r="K2" s="47"/>
      <c r="L2" s="47"/>
      <c r="M2" s="47"/>
      <c r="N2" s="48"/>
      <c r="O2" s="48"/>
    </row>
    <row r="3" spans="1:15" s="40" customFormat="1" ht="6" customHeight="1">
      <c r="N3" s="41"/>
    </row>
    <row r="4" spans="1:15" ht="18.600000000000001">
      <c r="B4" s="74" t="s">
        <v>2</v>
      </c>
      <c r="C4" s="72"/>
      <c r="D4" s="72"/>
      <c r="E4" s="72"/>
      <c r="F4" s="72"/>
      <c r="G4" s="72"/>
      <c r="H4" s="72"/>
      <c r="I4" s="72"/>
      <c r="J4" s="72"/>
    </row>
    <row r="5" spans="1:15" ht="85.9" customHeight="1">
      <c r="B5" s="169" t="s">
        <v>3</v>
      </c>
      <c r="C5" s="169"/>
      <c r="D5" s="169"/>
      <c r="E5" s="169"/>
      <c r="F5" s="169"/>
      <c r="G5" s="169"/>
      <c r="H5" s="72"/>
      <c r="I5" s="72"/>
      <c r="J5" s="72"/>
    </row>
    <row r="6" spans="1:15">
      <c r="B6" s="72"/>
      <c r="C6" s="72"/>
      <c r="D6" s="72"/>
      <c r="E6" s="72"/>
      <c r="F6" s="72"/>
      <c r="G6" s="72"/>
      <c r="H6" s="72"/>
      <c r="I6" s="72"/>
      <c r="J6" s="72"/>
    </row>
    <row r="7" spans="1:15" ht="18.600000000000001">
      <c r="B7" s="74" t="s">
        <v>4</v>
      </c>
      <c r="C7" s="72"/>
      <c r="D7" s="72"/>
      <c r="E7" s="72"/>
      <c r="F7" s="72"/>
      <c r="G7" s="72"/>
      <c r="H7" s="72"/>
      <c r="I7" s="72"/>
      <c r="J7" s="72"/>
    </row>
    <row r="8" spans="1:15" ht="198.95" customHeight="1">
      <c r="B8" s="168" t="s">
        <v>5</v>
      </c>
      <c r="C8" s="168"/>
      <c r="D8" s="168"/>
      <c r="E8" s="168"/>
      <c r="F8" s="168"/>
      <c r="G8" s="168"/>
      <c r="H8" s="72"/>
      <c r="I8" s="72"/>
      <c r="J8" s="72"/>
    </row>
    <row r="9" spans="1:15">
      <c r="B9" s="72"/>
      <c r="F9" s="72"/>
      <c r="G9" s="72"/>
      <c r="H9" s="72"/>
      <c r="I9" s="72"/>
      <c r="J9" s="72"/>
    </row>
    <row r="10" spans="1:15" ht="18.600000000000001">
      <c r="B10" s="79" t="s">
        <v>6</v>
      </c>
      <c r="F10" s="72"/>
      <c r="G10" s="72"/>
      <c r="H10" s="72"/>
      <c r="I10" s="72"/>
      <c r="J10" s="72"/>
    </row>
    <row r="11" spans="1:15">
      <c r="F11" s="72"/>
      <c r="G11" s="72"/>
      <c r="H11" s="72"/>
      <c r="I11" s="72"/>
      <c r="J11" s="72"/>
    </row>
    <row r="12" spans="1:15">
      <c r="F12" s="72"/>
      <c r="G12" s="72"/>
      <c r="H12" s="72"/>
      <c r="I12" s="72"/>
      <c r="J12" s="72"/>
    </row>
    <row r="13" spans="1:15">
      <c r="F13" s="72"/>
      <c r="G13" s="72"/>
      <c r="H13" s="72"/>
      <c r="I13" s="72"/>
      <c r="J13" s="72"/>
    </row>
    <row r="14" spans="1:15">
      <c r="F14" s="72"/>
      <c r="G14" s="72"/>
      <c r="H14" s="72"/>
      <c r="I14" s="72"/>
      <c r="J14" s="72"/>
    </row>
    <row r="15" spans="1:15">
      <c r="F15" s="72"/>
      <c r="G15" s="72"/>
      <c r="H15" s="72"/>
      <c r="I15" s="72"/>
      <c r="J15" s="72"/>
    </row>
    <row r="16" spans="1:15">
      <c r="F16" s="72"/>
      <c r="G16" s="72"/>
      <c r="H16" s="72"/>
      <c r="I16" s="72"/>
      <c r="J16" s="72"/>
    </row>
    <row r="17" spans="2:10">
      <c r="F17" s="72"/>
      <c r="G17" s="72"/>
      <c r="H17" s="72"/>
      <c r="I17" s="72"/>
      <c r="J17" s="72"/>
    </row>
    <row r="18" spans="2:10">
      <c r="F18" s="72"/>
      <c r="G18" s="72"/>
      <c r="H18" s="72"/>
      <c r="I18" s="72"/>
      <c r="J18" s="72"/>
    </row>
    <row r="19" spans="2:10">
      <c r="B19" s="72"/>
      <c r="F19" s="72"/>
      <c r="G19" s="72"/>
      <c r="H19" s="72"/>
      <c r="I19" s="72"/>
      <c r="J19" s="72"/>
    </row>
    <row r="20" spans="2:10">
      <c r="B20" s="72"/>
      <c r="F20" s="72"/>
      <c r="G20" s="72"/>
      <c r="H20" s="72"/>
      <c r="I20" s="72"/>
      <c r="J20" s="72"/>
    </row>
    <row r="21" spans="2:10">
      <c r="B21" s="72"/>
      <c r="C21" s="72"/>
      <c r="D21" s="72"/>
      <c r="E21" s="72"/>
      <c r="F21" s="72"/>
      <c r="G21" s="72"/>
      <c r="H21" s="72"/>
      <c r="I21" s="72"/>
      <c r="J21" s="72"/>
    </row>
  </sheetData>
  <sheetProtection algorithmName="SHA-512" hashValue="FWwo6ALShO7E1yC1capdZTXFPyGNXSXYIWW/pEsrzD274YDLhzeN5wf3hkE4ibPwbZ5ggfYAGLE5f9rgmNolGA==" saltValue="h08ew+TokR1sRbcnSMgsYQ==" spinCount="100000" sheet="1" selectLockedCells="1"/>
  <mergeCells count="2">
    <mergeCell ref="B8:G8"/>
    <mergeCell ref="B5:G5"/>
  </mergeCells>
  <pageMargins left="0.7" right="0.7" top="0.75" bottom="0.75" header="0.3" footer="0.3"/>
  <customProperties>
    <customPr name="_pios_id"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384D-7314-4513-ADAC-50FE80514921}">
  <sheetPr codeName="Sheet3">
    <tabColor theme="7" tint="0.79998168889431442"/>
  </sheetPr>
  <dimension ref="A1:O17"/>
  <sheetViews>
    <sheetView showGridLines="0" showRowColHeaders="0" workbookViewId="0">
      <selection activeCell="C7" sqref="C7:D7"/>
    </sheetView>
  </sheetViews>
  <sheetFormatPr defaultColWidth="8.85546875" defaultRowHeight="14.45"/>
  <cols>
    <col min="1" max="1" width="11" style="40" customWidth="1"/>
    <col min="2" max="2" width="38.7109375" style="40" customWidth="1"/>
    <col min="3" max="8" width="18.28515625" style="40" customWidth="1"/>
    <col min="9" max="14" width="8.85546875" style="40" customWidth="1"/>
    <col min="15" max="16384" width="8.85546875" style="40"/>
  </cols>
  <sheetData>
    <row r="1" spans="1:15" ht="24">
      <c r="A1" s="47"/>
      <c r="B1" s="49" t="s">
        <v>0</v>
      </c>
      <c r="C1" s="47"/>
      <c r="D1" s="47"/>
      <c r="E1" s="47"/>
      <c r="F1" s="47"/>
      <c r="G1" s="47"/>
      <c r="H1" s="47"/>
      <c r="I1" s="47"/>
      <c r="J1" s="47"/>
      <c r="K1" s="47"/>
      <c r="L1" s="47"/>
      <c r="M1" s="47"/>
      <c r="N1" s="47"/>
      <c r="O1" s="47"/>
    </row>
    <row r="2" spans="1:15" ht="24">
      <c r="A2" s="48"/>
      <c r="B2" s="49" t="s">
        <v>7</v>
      </c>
      <c r="C2" s="47"/>
      <c r="D2" s="47"/>
      <c r="E2" s="47"/>
      <c r="F2" s="47"/>
      <c r="G2" s="47"/>
      <c r="H2" s="47"/>
      <c r="I2" s="47"/>
      <c r="J2" s="47"/>
      <c r="K2" s="47"/>
      <c r="L2" s="47"/>
      <c r="M2" s="47"/>
      <c r="N2" s="48"/>
      <c r="O2" s="48"/>
    </row>
    <row r="3" spans="1:15" ht="6" customHeight="1">
      <c r="N3" s="41"/>
    </row>
    <row r="4" spans="1:15" ht="14.45" customHeight="1">
      <c r="B4" s="117" t="s">
        <v>8</v>
      </c>
      <c r="C4" s="172" t="s">
        <v>9</v>
      </c>
      <c r="D4" s="172"/>
      <c r="E4" s="72"/>
      <c r="F4" s="54"/>
      <c r="G4" s="54"/>
      <c r="H4" s="54"/>
      <c r="I4" s="54"/>
      <c r="J4" s="54"/>
      <c r="K4" s="54"/>
      <c r="L4" s="54"/>
      <c r="M4" s="54"/>
      <c r="N4" s="54"/>
    </row>
    <row r="5" spans="1:15" ht="14.45" customHeight="1">
      <c r="B5" s="118" t="s">
        <v>10</v>
      </c>
      <c r="C5" s="170" t="str">
        <f>"Symmetrical: "&amp;C6&amp;", "&amp;"Spiral: "&amp;C7</f>
        <v>Symmetrical: Base, Spiral: Base</v>
      </c>
      <c r="D5" s="171"/>
      <c r="E5" s="73"/>
      <c r="F5" s="76"/>
      <c r="G5" s="76"/>
      <c r="H5" s="76"/>
      <c r="I5" s="76"/>
      <c r="J5" s="76"/>
      <c r="K5" s="76"/>
      <c r="L5" s="76"/>
      <c r="M5" s="76"/>
      <c r="N5" s="76"/>
    </row>
    <row r="6" spans="1:15" s="44" customFormat="1" ht="14.45" customHeight="1">
      <c r="B6" s="75" t="s">
        <v>11</v>
      </c>
      <c r="C6" s="175" t="s">
        <v>12</v>
      </c>
      <c r="D6" s="176"/>
      <c r="E6"/>
      <c r="F6" s="61"/>
      <c r="G6" s="61"/>
      <c r="H6" s="61"/>
      <c r="I6" s="61"/>
      <c r="J6" s="61"/>
      <c r="K6" s="61"/>
      <c r="L6" s="61"/>
      <c r="M6" s="61"/>
      <c r="N6" s="77"/>
    </row>
    <row r="7" spans="1:15" s="44" customFormat="1" ht="14.45" customHeight="1">
      <c r="B7" s="75" t="s">
        <v>13</v>
      </c>
      <c r="C7" s="175" t="s">
        <v>12</v>
      </c>
      <c r="D7" s="176"/>
      <c r="E7"/>
      <c r="F7" s="61"/>
      <c r="G7" s="61"/>
      <c r="H7" s="61"/>
      <c r="I7" s="61"/>
      <c r="J7" s="61"/>
      <c r="K7" s="61"/>
      <c r="L7" s="61"/>
      <c r="M7" s="61"/>
      <c r="N7" s="77"/>
    </row>
    <row r="8" spans="1:15" ht="14.45" customHeight="1">
      <c r="B8" s="118" t="s">
        <v>14</v>
      </c>
      <c r="C8" s="175" t="s">
        <v>12</v>
      </c>
      <c r="D8" s="176"/>
      <c r="E8"/>
      <c r="F8" s="76"/>
      <c r="G8" s="76"/>
      <c r="H8" s="76"/>
      <c r="I8" s="76"/>
      <c r="J8" s="76"/>
      <c r="K8" s="76"/>
      <c r="L8" s="76"/>
      <c r="M8" s="76"/>
      <c r="N8" s="76"/>
    </row>
    <row r="9" spans="1:15" s="50" customFormat="1" ht="14.45" customHeight="1">
      <c r="B9" s="118" t="s">
        <v>15</v>
      </c>
      <c r="C9" s="175" t="s">
        <v>16</v>
      </c>
      <c r="D9" s="176" t="s">
        <v>17</v>
      </c>
      <c r="E9"/>
      <c r="F9" s="63"/>
      <c r="G9" s="63"/>
      <c r="H9" s="63"/>
      <c r="I9" s="63"/>
      <c r="J9" s="63"/>
      <c r="K9" s="63"/>
      <c r="L9" s="63"/>
      <c r="M9" s="63"/>
      <c r="N9" s="63"/>
    </row>
    <row r="10" spans="1:15" s="44" customFormat="1" ht="14.45" customHeight="1">
      <c r="B10" s="118" t="s">
        <v>18</v>
      </c>
      <c r="C10" s="173" t="s">
        <v>12</v>
      </c>
      <c r="D10" s="174" t="s">
        <v>19</v>
      </c>
      <c r="E10" s="78" t="s">
        <v>20</v>
      </c>
      <c r="F10" s="61"/>
      <c r="G10" s="61"/>
      <c r="H10" s="61"/>
      <c r="I10" s="61"/>
      <c r="J10" s="61"/>
      <c r="K10" s="61"/>
      <c r="L10" s="61"/>
      <c r="M10" s="61"/>
      <c r="N10" s="61"/>
    </row>
    <row r="11" spans="1:15" s="44" customFormat="1" ht="14.45" customHeight="1">
      <c r="B11" s="118" t="s">
        <v>21</v>
      </c>
      <c r="C11" s="173" t="s">
        <v>12</v>
      </c>
      <c r="D11" s="174" t="s">
        <v>22</v>
      </c>
      <c r="E11" s="78" t="s">
        <v>23</v>
      </c>
      <c r="F11" s="61"/>
      <c r="G11" s="61"/>
      <c r="H11" s="61"/>
      <c r="I11" s="61"/>
      <c r="J11" s="61"/>
      <c r="K11" s="61"/>
      <c r="L11" s="61"/>
      <c r="M11" s="61"/>
      <c r="N11" s="61"/>
    </row>
    <row r="12" spans="1:15" ht="14.45" customHeight="1"/>
    <row r="13" spans="1:15" ht="14.45" customHeight="1"/>
    <row r="14" spans="1:15" ht="14.45" customHeight="1"/>
    <row r="15" spans="1:15" ht="14.45" customHeight="1"/>
    <row r="16" spans="1:15" ht="14.45" customHeight="1"/>
    <row r="17" ht="14.45" customHeight="1"/>
  </sheetData>
  <sheetProtection algorithmName="SHA-512" hashValue="SSbV0K8GBcUTeOYuOS1VfmiYKd7N9ycaUtErpeHS4kAfuSDJJ4BXCzMVecNF5jamXG9tBFn/eec4xfCDoMFkUA==" saltValue="BMRrv0VQSqYYO8yomMQ3ew==" spinCount="100000" sheet="1" selectLockedCells="1"/>
  <mergeCells count="8">
    <mergeCell ref="C5:D5"/>
    <mergeCell ref="C4:D4"/>
    <mergeCell ref="C11:D11"/>
    <mergeCell ref="C10:D10"/>
    <mergeCell ref="C9:D9"/>
    <mergeCell ref="C8:D8"/>
    <mergeCell ref="C7:D7"/>
    <mergeCell ref="C6:D6"/>
  </mergeCells>
  <conditionalFormatting sqref="C11:D11">
    <cfRule type="expression" dxfId="1" priority="2">
      <formula>AND($C$10="Outsource",$C$11&lt;&gt;"Base")</formula>
    </cfRule>
  </conditionalFormatting>
  <conditionalFormatting sqref="E10:E11">
    <cfRule type="expression" dxfId="0" priority="1">
      <formula>$C$10="Outsource"</formula>
    </cfRule>
  </conditionalFormatting>
  <dataValidations count="6">
    <dataValidation type="list" allowBlank="1" showInputMessage="1" showErrorMessage="1" sqref="C9" xr:uid="{A18ED2E9-A1C3-4A5E-BBC2-421B522C2948}">
      <formula1>Marketing</formula1>
    </dataValidation>
    <dataValidation type="list" allowBlank="1" showInputMessage="1" showErrorMessage="1" sqref="C8" xr:uid="{B09902CE-3F38-456C-AA1E-C5891A65CE06}">
      <formula1>Pricing_Strategy</formula1>
    </dataValidation>
    <dataValidation type="list" allowBlank="1" showInputMessage="1" showErrorMessage="1" sqref="C10" xr:uid="{DE71733A-D617-481D-913F-6A0BEA78CC02}">
      <formula1>Supply_Chain</formula1>
    </dataValidation>
    <dataValidation type="list" allowBlank="1" showInputMessage="1" showErrorMessage="1" sqref="C11" xr:uid="{27D01AA7-C0DF-4878-9DAF-3B5CA6A353B3}">
      <formula1>Human_capital</formula1>
    </dataValidation>
    <dataValidation type="list" allowBlank="1" showInputMessage="1" showErrorMessage="1" sqref="C6" xr:uid="{AD9D1D15-B187-4899-AB38-35F1776FD4D7}">
      <formula1>symmetrical</formula1>
    </dataValidation>
    <dataValidation type="list" allowBlank="1" showInputMessage="1" showErrorMessage="1" sqref="C7" xr:uid="{4046AF5E-7C83-4D54-8FFB-0D85A472A41A}">
      <formula1>Spiral</formula1>
    </dataValidation>
  </dataValidations>
  <pageMargins left="0.7" right="0.7" top="0.75" bottom="0.75" header="0.3" footer="0.3"/>
  <customProperties>
    <customPr name="_pios_id"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3" tint="0.79998168889431442"/>
  </sheetPr>
  <dimension ref="A1:O38"/>
  <sheetViews>
    <sheetView showGridLines="0" showRowColHeaders="0" zoomScaleNormal="100" workbookViewId="0"/>
  </sheetViews>
  <sheetFormatPr defaultColWidth="8.85546875" defaultRowHeight="14.45"/>
  <cols>
    <col min="1" max="1" width="11" style="40" customWidth="1"/>
    <col min="2" max="2" width="38.7109375" style="40" customWidth="1"/>
    <col min="3" max="14" width="18.28515625" style="40" customWidth="1"/>
    <col min="15" max="15" width="15.5703125" style="40" bestFit="1" customWidth="1"/>
    <col min="16" max="16384" width="8.85546875" style="40"/>
  </cols>
  <sheetData>
    <row r="1" spans="1:15" ht="24">
      <c r="A1" s="47"/>
      <c r="B1" s="49" t="s">
        <v>0</v>
      </c>
      <c r="C1" s="47"/>
      <c r="D1" s="47"/>
      <c r="E1" s="47"/>
      <c r="F1" s="47"/>
      <c r="G1" s="47"/>
      <c r="H1" s="47"/>
      <c r="I1" s="47"/>
      <c r="J1" s="47"/>
      <c r="K1" s="47"/>
      <c r="L1" s="47"/>
      <c r="M1" s="47"/>
      <c r="N1" s="47"/>
    </row>
    <row r="2" spans="1:15" ht="24">
      <c r="A2" s="48"/>
      <c r="B2" s="49" t="s">
        <v>24</v>
      </c>
      <c r="C2" s="47"/>
      <c r="D2" s="47"/>
      <c r="E2" s="47"/>
      <c r="F2" s="47"/>
      <c r="G2" s="47"/>
      <c r="H2" s="47"/>
      <c r="I2" s="47"/>
      <c r="J2" s="47"/>
      <c r="K2" s="47"/>
      <c r="L2" s="47"/>
      <c r="M2" s="47"/>
      <c r="N2" s="48"/>
    </row>
    <row r="3" spans="1:15" ht="6" customHeight="1">
      <c r="N3" s="41"/>
    </row>
    <row r="4" spans="1:15" s="42" customFormat="1" hidden="1">
      <c r="C4" s="43">
        <v>5800000</v>
      </c>
      <c r="D4" s="43">
        <v>5961166</v>
      </c>
      <c r="E4" s="43">
        <v>6550428.4678800004</v>
      </c>
      <c r="F4" s="43">
        <v>6952100.7415304026</v>
      </c>
      <c r="G4" s="43">
        <v>7398217.0461144093</v>
      </c>
      <c r="H4" s="43">
        <v>7846548.9991089422</v>
      </c>
      <c r="I4" s="43">
        <v>8351631.3581815856</v>
      </c>
      <c r="J4" s="43">
        <v>8893902.7822683156</v>
      </c>
      <c r="K4" s="43">
        <v>9502334.6716032922</v>
      </c>
      <c r="L4" s="43">
        <v>10079126.386169612</v>
      </c>
      <c r="M4" s="43">
        <v>10646883.575502547</v>
      </c>
      <c r="N4" s="43">
        <v>88182340.028359115</v>
      </c>
    </row>
    <row r="5" spans="1:15">
      <c r="B5" s="52" t="s">
        <v>25</v>
      </c>
      <c r="C5" s="53"/>
      <c r="D5" s="53"/>
      <c r="E5" s="53"/>
      <c r="F5" s="53"/>
      <c r="G5" s="53"/>
      <c r="H5" s="53"/>
      <c r="I5" s="53"/>
      <c r="J5" s="53"/>
      <c r="K5" s="53"/>
      <c r="L5" s="53"/>
      <c r="M5" s="53"/>
      <c r="N5" s="53"/>
    </row>
    <row r="6" spans="1:15">
      <c r="B6" s="95" t="s">
        <v>26</v>
      </c>
      <c r="C6" s="54" t="s">
        <v>27</v>
      </c>
      <c r="D6" s="54" t="s">
        <v>28</v>
      </c>
      <c r="E6" s="54" t="s">
        <v>29</v>
      </c>
      <c r="F6" s="54" t="s">
        <v>30</v>
      </c>
      <c r="G6" s="54" t="s">
        <v>31</v>
      </c>
      <c r="H6" s="54" t="s">
        <v>32</v>
      </c>
      <c r="I6" s="54" t="s">
        <v>33</v>
      </c>
      <c r="J6" s="54" t="s">
        <v>34</v>
      </c>
      <c r="K6" s="54" t="s">
        <v>35</v>
      </c>
      <c r="L6" s="54" t="s">
        <v>36</v>
      </c>
      <c r="M6" s="54" t="s">
        <v>37</v>
      </c>
      <c r="N6" s="55" t="s">
        <v>38</v>
      </c>
    </row>
    <row r="7" spans="1:15">
      <c r="B7" s="56" t="s">
        <v>39</v>
      </c>
      <c r="C7" s="96">
        <f>5600*1000</f>
        <v>5600000</v>
      </c>
      <c r="D7" s="96">
        <f t="shared" ref="D7:M7" si="0">+(C7*(1+D8))</f>
        <v>5985112</v>
      </c>
      <c r="E7" s="96">
        <f t="shared" si="0"/>
        <v>6402154.6041599996</v>
      </c>
      <c r="F7" s="96">
        <f t="shared" si="0"/>
        <v>6836348.7294141306</v>
      </c>
      <c r="G7" s="96">
        <f>+(F7*(1+G8))</f>
        <v>7319473.4941218272</v>
      </c>
      <c r="H7" s="96">
        <f t="shared" si="0"/>
        <v>7810610.1655774014</v>
      </c>
      <c r="I7" s="96">
        <f t="shared" si="0"/>
        <v>8364148.1080118716</v>
      </c>
      <c r="J7" s="96">
        <f t="shared" si="0"/>
        <v>8961599.2073671613</v>
      </c>
      <c r="K7" s="96">
        <f t="shared" si="0"/>
        <v>9632912.6039910354</v>
      </c>
      <c r="L7" s="96">
        <f t="shared" si="0"/>
        <v>10280244.330979232</v>
      </c>
      <c r="M7" s="96">
        <f t="shared" si="0"/>
        <v>10926152.082294656</v>
      </c>
      <c r="N7" s="97">
        <f>SUM(C7:M7)</f>
        <v>88118755.325917318</v>
      </c>
      <c r="O7" s="41"/>
    </row>
    <row r="8" spans="1:15" s="44" customFormat="1" ht="13.9" customHeight="1">
      <c r="B8" s="57" t="s">
        <v>40</v>
      </c>
      <c r="C8" s="98">
        <v>0</v>
      </c>
      <c r="D8" s="99" cm="1">
        <f t="array" ref="D8">0.06227*(1+_xlfn.SWITCH('Decision Points'!$C$10,"Base",0,"Outsource",'Supply Chain &amp; Human Capital'!U6,"Plant Expansion",'Supply Chain &amp; Human Capital'!U7,"New Plant Construction",'Supply Chain &amp; Human Capital'!U8))+IF('Decision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Points'!$C$6=Levers!A29,Levers!$C$29,0)*0.75+IF('Decision Points'!$C$6=Levers!$A$30,Levers!$C$30,0)*0+IF('Decision Points'!$C$7="Base",0,0)+IF('Decision Points'!$C$7=Levers!$A$35,Levers!$C$35,0)*0+IF('Decision Points'!$C$7=Levers!$A$36,Levers!$C$36,0)*0.6</f>
        <v>6.8769999999999998E-2</v>
      </c>
      <c r="E8" s="99" cm="1">
        <f t="array" ref="E8">0.06318*(1+_xlfn.SWITCH('Decision Points'!$C$10,"Base",0,"Outsource",'Supply Chain &amp; Human Capital'!V6,"Plant Expansion",'Supply Chain &amp; Human Capital'!V7,"New Plant Construction",'Supply Chain &amp; Human Capital'!V8))+IF('Decision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Points'!$C$6=Levers!A29,Levers!$C$29,0)*0.8+IF('Decision Points'!$C$6=Levers!$A$30,Levers!$C$30,0)*0.3+IF('Decision Points'!$C$7="Base",0,0)+IF('Decision Points'!$C$7=Levers!$A$35,Levers!$C$35,0)*0.4+IF('Decision Points'!$C$7=Levers!$A$36,Levers!$C$36,0)</f>
        <v>6.9680000000000006E-2</v>
      </c>
      <c r="F8" s="99" cm="1">
        <f t="array" ref="F8">0.06132*(1+_xlfn.SWITCH('Decision Points'!$C$10,"Base",0,"Outsource",'Supply Chain &amp; Human Capital'!W6,"Plant Expansion",'Supply Chain &amp; Human Capital'!W7,"New Plant Construction",'Supply Chain &amp; Human Capital'!W8))+IF('Decision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Points'!$C$6=Levers!$A$30,Levers!$C$30,0)*0.5+IF('Decision Points'!$C$7="Base",0,0)+IF('Decision Points'!$C$7=Levers!$A$35,Levers!$C$35,0)*0.6+IF('Decision Points'!$C$7=Levers!$A$36,Levers!$C$36,0)</f>
        <v>6.7820000000000005E-2</v>
      </c>
      <c r="G8" s="99" cm="1">
        <f t="array" ref="G8">0.06417*(1+_xlfn.SWITCH('Decision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Points'!$C$6=Levers!$A$30,Levers!$C$30,0)*0.75+IF('Decision Points'!$C$7="Base",0,0)+IF('Decision Points'!$C$7=Levers!$A$35,Levers!$C$35,0)+IF('Decision Points'!$C$7=Levers!$A$36,Levers!$C$36,0)</f>
        <v>7.0670000000000011E-2</v>
      </c>
      <c r="H8" s="99" cm="1">
        <f t="array" ref="H8">0.0606*(1+_xlfn.SWITCH('Decision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Points'!$C$6=Levers!$A$30,Levers!$C$30,0)+IF('Decision Points'!$C$7="Base",0,0)+IF('Decision Points'!$C$7=Levers!$A$35,Levers!$C$35,0)+IF('Decision Points'!$C$7=Levers!$A$36,Levers!$C$36,0)</f>
        <v>6.7100000000000007E-2</v>
      </c>
      <c r="I8" s="99" cm="1">
        <f t="array" ref="I8">0.06437*(1+_xlfn.SWITCH('Decision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Points'!$C$6=Levers!$A$30,Levers!$C$30,0)+IF('Decision Points'!$C$7="Base",0,0)+IF('Decision Points'!$C$7=Levers!$A$35,Levers!$C$35,0)+IF('Decision Points'!$C$7=Levers!$A$36,Levers!$C$36,0)</f>
        <v>7.0870000000000002E-2</v>
      </c>
      <c r="J8" s="99" cm="1">
        <f t="array" ref="J8">0.06493*(1+_xlfn.SWITCH('Decision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Points'!$C$6=Levers!$A$30,Levers!$C$30,0)+IF('Decision Points'!$C$7="Base",0,0)+IF('Decision Points'!$C$7=Levers!$A$35,Levers!$C$35,0)+IF('Decision Points'!$C$7=Levers!$A$36,Levers!$C$36,0)</f>
        <v>7.1430000000000007E-2</v>
      </c>
      <c r="K8" s="99" cm="1">
        <f t="array" ref="K8">0.06841*(1+_xlfn.SWITCH('Decision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Points'!$C$6=Levers!$A$30,Levers!$C$30,0)+IF('Decision Points'!$C$7="Base",0,0)+IF('Decision Points'!$C$7=Levers!$A$35,Levers!$C$35,0)+IF('Decision Points'!$C$7=Levers!$A$36,Levers!$C$36,0)</f>
        <v>7.4910000000000004E-2</v>
      </c>
      <c r="L8" s="99" cm="1">
        <f t="array" ref="L8">0.0607*(1+_xlfn.SWITCH('Decision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Points'!$C$6=Levers!$A$30,Levers!$C$30,0)+IF('Decision Points'!$C$7="Base",0,0)+IF('Decision Points'!$C$7=Levers!$A$35,Levers!$C$35,0)+IF('Decision Points'!$C$7=Levers!$A$36,Levers!$C$36,0)</f>
        <v>6.7199999999999996E-2</v>
      </c>
      <c r="M8" s="99" cm="1">
        <f t="array" ref="M8">0.05633*(1+_xlfn.SWITCH('Decision Points'!$C$10,"Base",0,"Outsource",'Supply Chain &amp; Human Capital'!X6,"Plant Expansion",'Supply Chain &amp; Human Capital'!X7,"New Plant Construction",'Supply Chain &amp; Human Capital'!X8))+IF('Decision Points'!$C$8="Base",0,0)+IF('Decision Points'!$C$8="Low ",Levers!$B$13,0)+IF('Decision Points'!$C$8="Med",Levers!$B$14,0)+IF('Decision Points'!$C$8="High",Levers!$B$15,0)+IF('Decision Points'!$C$9="Base",0,0)+IF('Decision Points'!$C$9="Bronze",Levers!$B$18,0)+IF('Decision Points'!$C$9="Silver",Levers!$B$19,0)+IF('Decision Points'!$C$9="Gold",Levers!$B$20,0)++IF('Decision Points'!$C$6="Base",0,0)+IF('Decision Points'!$C$6=Levers!A29,Levers!$C$29,0)+IF('Decision Points'!$C$6=Levers!$A$30,Levers!$C$30,0)+IF('Decision Points'!$C$7="Base",0,0)+IF('Decision Points'!$C$7=Levers!$A$35,Levers!$C$35,0)+IF('Decision Points'!$C$7=Levers!$A$36,Levers!$C$36,0)</f>
        <v>6.2829999999999997E-2</v>
      </c>
      <c r="N8" s="100">
        <v>0</v>
      </c>
    </row>
    <row r="9" spans="1:15" s="44" customFormat="1" ht="8.85" customHeight="1">
      <c r="B9" s="57"/>
      <c r="C9" s="98"/>
      <c r="D9" s="99"/>
      <c r="E9" s="99"/>
      <c r="F9" s="99"/>
      <c r="G9" s="99"/>
      <c r="H9" s="99"/>
      <c r="I9" s="99"/>
      <c r="J9" s="99"/>
      <c r="K9" s="99"/>
      <c r="L9" s="99"/>
      <c r="M9" s="99"/>
      <c r="N9" s="100"/>
    </row>
    <row r="10" spans="1:15">
      <c r="B10" s="58" t="s">
        <v>41</v>
      </c>
      <c r="C10" s="96">
        <f>+C7*C12</f>
        <v>1730400</v>
      </c>
      <c r="D10" s="96">
        <f>+D4*D12</f>
        <v>1844980.8770000001</v>
      </c>
      <c r="E10" s="96">
        <f t="shared" ref="E10:M10" si="1">+E4*E12</f>
        <v>1999845.8112437641</v>
      </c>
      <c r="F10" s="96">
        <f t="shared" si="1"/>
        <v>2156541.6500227307</v>
      </c>
      <c r="G10" s="96">
        <f t="shared" si="1"/>
        <v>2259415.4858833407</v>
      </c>
      <c r="H10" s="96">
        <f t="shared" si="1"/>
        <v>2402613.3035271582</v>
      </c>
      <c r="I10" s="96">
        <f t="shared" si="1"/>
        <v>2585665.0684930189</v>
      </c>
      <c r="J10" s="96">
        <f t="shared" si="1"/>
        <v>2731317.5444345996</v>
      </c>
      <c r="K10" s="96">
        <f t="shared" si="1"/>
        <v>2937171.6469925777</v>
      </c>
      <c r="L10" s="96">
        <f t="shared" si="1"/>
        <v>3033817.0422370532</v>
      </c>
      <c r="M10" s="96">
        <f t="shared" si="1"/>
        <v>3214294.1514442186</v>
      </c>
      <c r="N10" s="101">
        <f>SUM(C10:M10)</f>
        <v>26896062.581278466</v>
      </c>
    </row>
    <row r="11" spans="1:15" s="50" customFormat="1" ht="13.9" customHeight="1">
      <c r="B11" s="59" t="s">
        <v>42</v>
      </c>
      <c r="C11" s="102">
        <f t="shared" ref="C11:N11" si="2">+C10/C7</f>
        <v>0.309</v>
      </c>
      <c r="D11" s="102">
        <f>+D10/D7</f>
        <v>0.30826171289693494</v>
      </c>
      <c r="E11" s="102">
        <f t="shared" si="2"/>
        <v>0.31237074623975841</v>
      </c>
      <c r="F11" s="102">
        <f t="shared" si="2"/>
        <v>0.31545225900252527</v>
      </c>
      <c r="G11" s="102">
        <f t="shared" si="2"/>
        <v>0.30868552057710813</v>
      </c>
      <c r="H11" s="102">
        <f t="shared" si="2"/>
        <v>0.30760891308029381</v>
      </c>
      <c r="I11" s="102">
        <f t="shared" si="2"/>
        <v>0.30913669092208629</v>
      </c>
      <c r="J11" s="102">
        <f t="shared" si="2"/>
        <v>0.30478014930518599</v>
      </c>
      <c r="K11" s="102">
        <f t="shared" si="2"/>
        <v>0.30491002750047486</v>
      </c>
      <c r="L11" s="102">
        <f t="shared" si="2"/>
        <v>0.29511137523207787</v>
      </c>
      <c r="M11" s="102">
        <f t="shared" si="2"/>
        <v>0.29418354487787512</v>
      </c>
      <c r="N11" s="103">
        <f t="shared" si="2"/>
        <v>0.30522517575061398</v>
      </c>
    </row>
    <row r="12" spans="1:15" s="45" customFormat="1" ht="9.75" hidden="1" customHeight="1">
      <c r="B12" s="60" t="s">
        <v>43</v>
      </c>
      <c r="C12" s="104">
        <v>0.309</v>
      </c>
      <c r="D12" s="104" cm="1">
        <f t="array" ref="D12">0.3095*(1+_xlfn.SWITCH('Decision Points'!$C$10,"Base",0,"Outsource",'Supply Chain &amp; Human Capital'!$C$6,"Plant Expansion",'Supply Chain &amp; Human Capital'!H7,"New Plant Construction",'Supply Chain &amp; Human Capital'!H8)+_xlfn.SWITCH('Decision Points'!$C$11,"Contractor ",'Supply Chain &amp; Human Capital'!H11,"Full Time",'Supply Chain &amp; Human Capital'!H12,"Base",0))</f>
        <v>0.3095</v>
      </c>
      <c r="E12" s="104" cm="1">
        <f t="array" ref="E12">30.53%*(1+_xlfn.SWITCH('Decision Points'!$C$10,"Base",0,"Outsource",'Supply Chain &amp; Human Capital'!$C$6,"Plant Expansion",'Supply Chain &amp; Human Capital'!I7,"New Plant Construction",'Supply Chain &amp; Human Capital'!I8)+_xlfn.SWITCH('Decision Points'!$C$11,"Contractor ",'Supply Chain &amp; Human Capital'!I11,"Full Time",'Supply Chain &amp; Human Capital'!I12,"Base",0))</f>
        <v>0.30530000000000002</v>
      </c>
      <c r="F12" s="104" cm="1">
        <f t="array" ref="F12">31.02%*(1+_xlfn.SWITCH('Decision Points'!$C$10,"Base",0,"Outsource",'Supply Chain &amp; Human Capital'!$C$6,"Plant Expansion",'Supply Chain &amp; Human Capital'!J7,"New Plant Construction",'Supply Chain &amp; Human Capital'!J8)+_xlfn.SWITCH('Decision Points'!$C$11,"Contractor ",'Supply Chain &amp; Human Capital'!J11,"Full Time",'Supply Chain &amp; Human Capital'!J12,"Base",0))</f>
        <v>0.31019999999999998</v>
      </c>
      <c r="G12" s="104" cm="1">
        <f t="array" ref="G12">30.54%*(1+_xlfn.SWITCH('Decision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Capital'!K12,"Base",0))</f>
        <v>0.3054</v>
      </c>
      <c r="H12" s="104" cm="1">
        <f t="array" ref="H12">30.62%*(1+_xlfn.SWITCH('Decision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Capital'!K12,"Base",0))</f>
        <v>0.30620000000000003</v>
      </c>
      <c r="I12" s="104" cm="1">
        <f t="array" ref="I12">30.96%*(1+_xlfn.SWITCH('Decision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Capital'!K12,"Base",0))</f>
        <v>0.30959999999999999</v>
      </c>
      <c r="J12" s="104" cm="1">
        <f t="array" ref="J12">30.71%*(1+_xlfn.SWITCH('Decision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Capital'!K12,"Base",0))</f>
        <v>0.30709999999999998</v>
      </c>
      <c r="K12" s="104" cm="1">
        <f t="array" ref="K12">30.91%*(1+_xlfn.SWITCH('Decision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Capital'!O12,"Base",0))</f>
        <v>0.30909999999999999</v>
      </c>
      <c r="L12" s="104" cm="1">
        <f t="array" ref="L12">30.1%*(1+_xlfn.SWITCH('Decision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Capital'!P12,"Base",0))</f>
        <v>0.30099999999999999</v>
      </c>
      <c r="M12" s="104" cm="1">
        <f t="array" ref="M12">30.19%*(1+_xlfn.SWITCH('Decision Points'!$C$10,"Base",0,"Outsource",'Supply Chain &amp; Human Capital'!$C$6,"Plant Expansion",'Supply Chain &amp; Human Capital'!K7,"New Plant Construction",'Supply Chain &amp; Human Capital'!K8)+_xlfn.SWITCH('Decision Points'!$C$11,"Contractor ",'Supply Chain &amp; Human Capital'!K11,"Full Time",'Supply Chain &amp; Human Capital'!P12,"Base",0))</f>
        <v>0.3019</v>
      </c>
      <c r="N12" s="105"/>
    </row>
    <row r="13" spans="1:15" s="44" customFormat="1" ht="8.85" customHeight="1">
      <c r="B13" s="57"/>
      <c r="C13" s="99"/>
      <c r="D13" s="99"/>
      <c r="E13" s="99"/>
      <c r="F13" s="99"/>
      <c r="G13" s="99"/>
      <c r="H13" s="99"/>
      <c r="I13" s="99"/>
      <c r="J13" s="99"/>
      <c r="K13" s="99"/>
      <c r="L13" s="99"/>
      <c r="M13" s="99"/>
      <c r="N13" s="106"/>
    </row>
    <row r="14" spans="1:15">
      <c r="B14" s="62" t="s">
        <v>44</v>
      </c>
      <c r="C14" s="107">
        <f>+C7-C10</f>
        <v>3869600</v>
      </c>
      <c r="D14" s="107">
        <f t="shared" ref="D14:M14" si="3">+D7-D10</f>
        <v>4140131.1229999997</v>
      </c>
      <c r="E14" s="107">
        <f t="shared" si="3"/>
        <v>4402308.7929162355</v>
      </c>
      <c r="F14" s="107">
        <f t="shared" si="3"/>
        <v>4679807.0793913994</v>
      </c>
      <c r="G14" s="107">
        <f t="shared" si="3"/>
        <v>5060058.0082384869</v>
      </c>
      <c r="H14" s="107">
        <f t="shared" si="3"/>
        <v>5407996.8620502427</v>
      </c>
      <c r="I14" s="107">
        <f t="shared" si="3"/>
        <v>5778483.0395188527</v>
      </c>
      <c r="J14" s="107">
        <f t="shared" si="3"/>
        <v>6230281.6629325617</v>
      </c>
      <c r="K14" s="107">
        <f t="shared" si="3"/>
        <v>6695740.9569984581</v>
      </c>
      <c r="L14" s="107">
        <f t="shared" si="3"/>
        <v>7246427.2887421791</v>
      </c>
      <c r="M14" s="107">
        <f t="shared" si="3"/>
        <v>7711857.9308504369</v>
      </c>
      <c r="N14" s="108">
        <f>SUM(C14:M14)</f>
        <v>61222692.744638853</v>
      </c>
    </row>
    <row r="15" spans="1:15" s="51" customFormat="1" ht="13.9" customHeight="1">
      <c r="B15" s="59" t="s">
        <v>42</v>
      </c>
      <c r="C15" s="102">
        <f>+C14/C7</f>
        <v>0.69099999999999995</v>
      </c>
      <c r="D15" s="102">
        <f t="shared" ref="D15:M15" si="4">+D14/D7</f>
        <v>0.69173828710306506</v>
      </c>
      <c r="E15" s="102">
        <f t="shared" si="4"/>
        <v>0.68762925376024164</v>
      </c>
      <c r="F15" s="102">
        <f t="shared" si="4"/>
        <v>0.68454774099747473</v>
      </c>
      <c r="G15" s="102">
        <f t="shared" si="4"/>
        <v>0.69131447942289193</v>
      </c>
      <c r="H15" s="102">
        <f t="shared" si="4"/>
        <v>0.69239108691970608</v>
      </c>
      <c r="I15" s="102">
        <f t="shared" si="4"/>
        <v>0.69086330907791371</v>
      </c>
      <c r="J15" s="102">
        <f t="shared" si="4"/>
        <v>0.69521985069481407</v>
      </c>
      <c r="K15" s="102">
        <f t="shared" si="4"/>
        <v>0.6950899724995252</v>
      </c>
      <c r="L15" s="102">
        <f t="shared" si="4"/>
        <v>0.70488862476792224</v>
      </c>
      <c r="M15" s="102">
        <f t="shared" si="4"/>
        <v>0.70581645512212488</v>
      </c>
      <c r="N15" s="103">
        <f>N14/$N$7</f>
        <v>0.69477482424938597</v>
      </c>
    </row>
    <row r="16" spans="1:15" s="44" customFormat="1" ht="8.85" customHeight="1">
      <c r="B16" s="57"/>
      <c r="C16" s="99"/>
      <c r="D16" s="99"/>
      <c r="E16" s="99"/>
      <c r="F16" s="99"/>
      <c r="G16" s="99"/>
      <c r="H16" s="99"/>
      <c r="I16" s="99"/>
      <c r="J16" s="99"/>
      <c r="K16" s="99"/>
      <c r="L16" s="99"/>
      <c r="M16" s="99"/>
      <c r="N16" s="106"/>
    </row>
    <row r="17" spans="2:15">
      <c r="B17" s="58" t="s">
        <v>45</v>
      </c>
      <c r="C17" s="96">
        <f t="shared" ref="C17:M17" si="5">+C4*C19</f>
        <v>1827000</v>
      </c>
      <c r="D17" s="96">
        <f>+D4*D19</f>
        <v>1926052.7346000001</v>
      </c>
      <c r="E17" s="96">
        <f t="shared" si="5"/>
        <v>2246141.9216360524</v>
      </c>
      <c r="F17" s="96">
        <f t="shared" si="5"/>
        <v>2337296.2693025214</v>
      </c>
      <c r="G17" s="96">
        <f t="shared" si="5"/>
        <v>2505036.2918143389</v>
      </c>
      <c r="H17" s="96">
        <f t="shared" si="5"/>
        <v>2691366.3066943674</v>
      </c>
      <c r="I17" s="96">
        <f t="shared" si="5"/>
        <v>2811159.1151639218</v>
      </c>
      <c r="J17" s="96">
        <f t="shared" si="5"/>
        <v>2979457.4320598859</v>
      </c>
      <c r="K17" s="96">
        <f t="shared" si="5"/>
        <v>3108213.6710814368</v>
      </c>
      <c r="L17" s="96">
        <f>+L4*L19</f>
        <v>3231367.9194059777</v>
      </c>
      <c r="M17" s="96">
        <f t="shared" si="5"/>
        <v>3479401.5524742324</v>
      </c>
      <c r="N17" s="101">
        <f>SUM(C17:M17)</f>
        <v>29142493.214232735</v>
      </c>
    </row>
    <row r="18" spans="2:15" s="50" customFormat="1" ht="13.9" customHeight="1">
      <c r="B18" s="59" t="s">
        <v>42</v>
      </c>
      <c r="C18" s="102">
        <f t="shared" ref="C18:N18" si="6">+C17/C7</f>
        <v>0.32624999999999998</v>
      </c>
      <c r="D18" s="102">
        <f t="shared" si="6"/>
        <v>0.3218073002810975</v>
      </c>
      <c r="E18" s="102">
        <f t="shared" si="6"/>
        <v>0.3508415620229714</v>
      </c>
      <c r="F18" s="102">
        <f t="shared" si="6"/>
        <v>0.34189248702981623</v>
      </c>
      <c r="G18" s="102">
        <f t="shared" si="6"/>
        <v>0.34224268915327044</v>
      </c>
      <c r="H18" s="102">
        <f t="shared" si="6"/>
        <v>0.34457824032181839</v>
      </c>
      <c r="I18" s="102">
        <f t="shared" si="6"/>
        <v>0.33609628606064035</v>
      </c>
      <c r="J18" s="102">
        <f t="shared" si="6"/>
        <v>0.33246939113395413</v>
      </c>
      <c r="K18" s="102">
        <f t="shared" si="6"/>
        <v>0.32266603039600561</v>
      </c>
      <c r="L18" s="102">
        <f>+L17/L7</f>
        <v>0.31432792989835268</v>
      </c>
      <c r="M18" s="102">
        <f t="shared" si="6"/>
        <v>0.31844710985786551</v>
      </c>
      <c r="N18" s="103">
        <f t="shared" si="6"/>
        <v>0.33071839367732653</v>
      </c>
    </row>
    <row r="19" spans="2:15" s="45" customFormat="1" ht="9.75" hidden="1" customHeight="1">
      <c r="B19" s="60" t="s">
        <v>46</v>
      </c>
      <c r="C19" s="104">
        <v>0.315</v>
      </c>
      <c r="D19" s="104">
        <f>0.3031+IF('Decision Points'!$C$9="Base",0,0)+IF('Decision Points'!$C$9="Bronze",Levers!$B$23,0)+IF('Decision Points'!$C$9="Silver",Levers!$B$24,0)+IF('Decision Points'!$C$9="Gold",Levers!$B$25,0)+IF('Decision Points'!$C$10="Base",0,0)+IF('Decision Points'!$C$10="Outsource",0,0)+IF('Decision Points'!$C$10="Plant Expansion",'Supply Chain &amp; Human Capital'!H22,0)+IF('Decision Points'!C10="New Plant Construction",'Supply Chain &amp; Human Capital'!H23,0)</f>
        <v>0.3231</v>
      </c>
      <c r="E19" s="104">
        <f>0.3229+IF('Decision Points'!$C$9="Base",0,0)+IF('Decision Points'!$C$9="Bronze",Levers!$B$23,0)+IF('Decision Points'!$C$9="Silver",Levers!$B$24,0)+IF('Decision Points'!$C$9="Gold",Levers!$B$25,0)+IF('Decision Points'!$C$10="Base",0,0)+IF('Decision Points'!$C$10="Outsource",0,0)+IF('Decision Points'!$C$10="Plant Expansion",'Supply Chain &amp; Human Capital'!I22,0)+IF('Decision Points'!C10="New Plant Construction",'Supply Chain &amp; Human Capital'!I23,0)</f>
        <v>0.34290000000000004</v>
      </c>
      <c r="F19" s="104">
        <f>0.3162+IF('Decision Points'!$C$9="Base",0,0)+IF('Decision Points'!$C$9="Bronze",Levers!$B$23,0)+IF('Decision Points'!$C$9="Silver",Levers!$B$24,0)+IF('Decision Points'!$C$9="Gold",Levers!$B$25,0)+IF('Decision Points'!$C$10="Base",0,0)+IF('Decision Points'!$C$10="Outsource",0,0)+IF('Decision Points'!$C$10="Plant Expansion",'Supply Chain &amp; Human Capital'!J22,0)+IF('Decision Points'!C10="New Plant Construction",'Supply Chain &amp; Human Capital'!J23,0)</f>
        <v>0.3362</v>
      </c>
      <c r="G19" s="104">
        <f>0.3186+IF('Decision Points'!$C$9="Base",0,0)+IF('Decision Points'!$C$9="Bronze",Levers!$B$23,0)+IF('Decision Points'!$C$9="Silver",Levers!$B$24,0)+IF('Decision Points'!$C$9="Gold",Levers!$B$25,0)+IF('Decision Points'!$C$10="Base",0,0)+IF('Decision Points'!$C$10="Outsource",0,0)+IF('Decision Points'!$C$10="Plant Expansion",'Supply Chain &amp; Human Capital'!K22,0)+IF('Decision Points'!C10="New Plant Construction",'Supply Chain &amp; Human Capital'!K23,0)</f>
        <v>0.33860000000000001</v>
      </c>
      <c r="H19" s="104">
        <f>0.323+IF('Decision Points'!$C$9="Base",0,0)+IF('Decision Points'!$C$9="Bronze",Levers!$B$23,0)+IF('Decision Points'!$C$9="Silver",Levers!$B$24,0)+IF('Decision Points'!$C$9="Gold",Levers!$B$25,0)+IF('Decision Points'!$C$10="Base",0,0)+IF('Decision Points'!$C$10="Outsource",0,0)+IF('Decision Points'!$C$10="Plant Expansion",'Supply Chain &amp; Human Capital'!L22,0)+IF('Decision Points'!C10="New Plant Construction",'Supply Chain &amp; Human Capital'!L23,0)</f>
        <v>0.34300000000000003</v>
      </c>
      <c r="I19" s="104">
        <f>0.3166+IF('Decision Points'!$C$9="Base",0,0)+IF('Decision Points'!$C$9="Bronze",Levers!$B$23,0)+IF('Decision Points'!$C$9="Silver",Levers!$B$24,0)+IF('Decision Points'!$C$9="Gold",Levers!$B$25,0)+IF('Decision Points'!$C$10="Base",0,0)+IF('Decision Points'!$C$10="Outsource",0,0)+IF('Decision Points'!$C$10="Plant Expansion",'Supply Chain &amp; Human Capital'!M22,0)+IF('Decision Points'!C10="New Plant Construction",'Supply Chain &amp; Human Capital'!M23,0)</f>
        <v>0.33660000000000001</v>
      </c>
      <c r="J19" s="104">
        <f>0.315+IF('Decision Points'!$C$9="Base",0,0)+IF('Decision Points'!$C$9="Bronze",Levers!$B$23,0)+IF('Decision Points'!$C$9="Silver",Levers!$B$24,0)+IF('Decision Points'!$C$9="Gold",Levers!$B$25,0)+IF('Decision Points'!$C$10="Base",0,0)+IF('Decision Points'!$C$10="Outsource",0,0)+IF('Decision Points'!$C$10="Plant Expansion",'Supply Chain &amp; Human Capital'!M22,0)+IF('Decision Points'!C10="New Plant Construction",'Supply Chain &amp; Human Capital'!M23,0)</f>
        <v>0.33500000000000002</v>
      </c>
      <c r="K19" s="104">
        <f>0.3071+IF('Decision Points'!$C$9="Base",0,0)+IF('Decision Points'!$C$9="Bronze",Levers!$B$23,0)+IF('Decision Points'!$C$9="Silver",Levers!$B$24,0)+IF('Decision Points'!$C$9="Gold",Levers!$B$25,0)+IF('Decision Points'!$C$10="Base",0,0)+IF('Decision Points'!$C$10="Outsource",0,0)+IF('Decision Points'!$C$10="Plant Expansion",'Supply Chain &amp; Human Capital'!M22,0)+IF('Decision Points'!C10="New Plant Construction",'Supply Chain &amp; Human Capital'!M23,0)</f>
        <v>0.3271</v>
      </c>
      <c r="L19" s="104">
        <f>0.3006+IF('Decision Points'!$C$9="Base",0,0)+IF('Decision Points'!$C$9="Bronze",Levers!$B$23,0)+IF('Decision Points'!$C$9="Silver",Levers!$B$24,0)+IF('Decision Points'!$C$9="Gold",Levers!$B$25,0)+IF('Decision Points'!$C$10="Base",0,0)+IF('Decision Points'!$C$10="Outsource",0,0)+IF('Decision Points'!$C$10="Plant Expansion",'Supply Chain &amp; Human Capital'!M22,0)+IF('Decision Points'!C10="New Plant Construction",'Supply Chain &amp; Human Capital'!M23,0)</f>
        <v>0.3206</v>
      </c>
      <c r="M19" s="104">
        <f>0.3068+IF('Decision Points'!$C$9="Base",0,0)+IF('Decision Points'!$C$9="Bronze",Levers!$B$23,0)+IF('Decision Points'!$C$9="Silver",Levers!$B$24,0)+IF('Decision Points'!$C$9="Gold",Levers!$B$25,0)+IF('Decision Points'!$C$10="Base",0,0)+IF('Decision Points'!$C$10="Outsource",0,0)+IF('Decision Points'!$C$10="Plant Expansion",'Supply Chain &amp; Human Capital'!M22,0)+IF('Decision Points'!C10="New Plant Construction",'Supply Chain &amp; Human Capital'!M23,0)</f>
        <v>0.32680000000000003</v>
      </c>
      <c r="N19" s="105"/>
    </row>
    <row r="20" spans="2:15" s="44" customFormat="1" ht="8.85" customHeight="1">
      <c r="B20" s="57"/>
      <c r="C20" s="99"/>
      <c r="D20" s="99"/>
      <c r="E20" s="99"/>
      <c r="F20" s="99"/>
      <c r="G20" s="99"/>
      <c r="H20" s="99"/>
      <c r="I20" s="99"/>
      <c r="J20" s="99"/>
      <c r="K20" s="99"/>
      <c r="L20" s="99"/>
      <c r="M20" s="99"/>
      <c r="N20" s="106"/>
    </row>
    <row r="21" spans="2:15">
      <c r="B21" s="58" t="s">
        <v>47</v>
      </c>
      <c r="C21" s="96">
        <f>+C7*C23</f>
        <v>291200</v>
      </c>
      <c r="D21" s="165">
        <f>+D4*D23+IF('Decision Points'!$C$6=Levers!$A$30,50000,0)+IF('Decision Points'!$C$7=Levers!$A$36,75000,0)</f>
        <v>327268.0134</v>
      </c>
      <c r="E21" s="96">
        <f>+E4*E23+IF('Decision Points'!$C$6=Levers!$A$30,60000,0)+IF('Decision Points'!$C$7=Levers!$A$36,85000,0)</f>
        <v>355688.26580588403</v>
      </c>
      <c r="F21" s="96">
        <f>+F4*F23+IF('Decision Points'!$C$6=Levers!$A$30,25000,0)+IF('Decision Points'!$C$7=Levers!$A$36,35500,0)</f>
        <v>346909.82700236706</v>
      </c>
      <c r="G21" s="96">
        <f t="shared" ref="G21:M21" si="7">+G4*G23</f>
        <v>383967.46469333785</v>
      </c>
      <c r="H21" s="96">
        <f t="shared" si="7"/>
        <v>386834.86565607082</v>
      </c>
      <c r="I21" s="96">
        <f t="shared" si="7"/>
        <v>449317.76707016933</v>
      </c>
      <c r="J21" s="96">
        <f t="shared" si="7"/>
        <v>483828.31135539635</v>
      </c>
      <c r="K21" s="96">
        <f t="shared" si="7"/>
        <v>493171.16945621086</v>
      </c>
      <c r="L21" s="96">
        <f t="shared" si="7"/>
        <v>553344.03860071173</v>
      </c>
      <c r="M21" s="96">
        <f t="shared" si="7"/>
        <v>521697.29519962479</v>
      </c>
      <c r="N21" s="101">
        <f>SUM(C21:M21)</f>
        <v>4593227.0182397729</v>
      </c>
    </row>
    <row r="22" spans="2:15" s="50" customFormat="1" ht="13.9" customHeight="1">
      <c r="B22" s="59" t="s">
        <v>42</v>
      </c>
      <c r="C22" s="102">
        <f t="shared" ref="C22:N22" si="8">+C21/C7</f>
        <v>5.1999999999999998E-2</v>
      </c>
      <c r="D22" s="102">
        <f>+D21/D7</f>
        <v>5.4680349072832722E-2</v>
      </c>
      <c r="E22" s="102">
        <f t="shared" si="8"/>
        <v>5.5557587686927222E-2</v>
      </c>
      <c r="F22" s="102">
        <f t="shared" si="8"/>
        <v>5.0744899175454578E-2</v>
      </c>
      <c r="G22" s="102">
        <f t="shared" si="8"/>
        <v>5.2458344852494794E-2</v>
      </c>
      <c r="H22" s="102">
        <f t="shared" si="8"/>
        <v>4.9526843288238025E-2</v>
      </c>
      <c r="I22" s="102">
        <f t="shared" si="8"/>
        <v>5.371948957237805E-2</v>
      </c>
      <c r="J22" s="102">
        <f t="shared" si="8"/>
        <v>5.3989059336379409E-2</v>
      </c>
      <c r="K22" s="102">
        <f t="shared" si="8"/>
        <v>5.1196475015446927E-2</v>
      </c>
      <c r="L22" s="102">
        <f t="shared" si="8"/>
        <v>5.3825961794820847E-2</v>
      </c>
      <c r="M22" s="102">
        <f t="shared" si="8"/>
        <v>4.7747577671466979E-2</v>
      </c>
      <c r="N22" s="103">
        <f t="shared" si="8"/>
        <v>5.2125418717629365E-2</v>
      </c>
    </row>
    <row r="23" spans="2:15" s="45" customFormat="1" ht="9.75" hidden="1" customHeight="1">
      <c r="B23" s="60" t="s">
        <v>48</v>
      </c>
      <c r="C23" s="104">
        <v>5.1999999999999998E-2</v>
      </c>
      <c r="D23" s="104">
        <f>0.0549+IF('Decision Points'!$C$6="Base",0,0)+IF('Decision Points'!$C$6=Levers!A29,Levers!$B$29,0)+IF('Decision Points'!$C$6=Levers!$A$30,Levers!$B$30,0)+IF('Decision Points'!$C$7="Base",0,0)+IF('Decision Points'!$C$7=Levers!$A$35,Levers!$B$35,0)+IF('Decision Points'!$C$7=Levers!$A$36,Levers!$B$36,0)</f>
        <v>5.4899999999999997E-2</v>
      </c>
      <c r="E23" s="104">
        <f>0.0543+IF('Decision Points'!$C$6="Base",0,0)+IF('Decision Points'!$C$6=Levers!A29,Levers!$B$29,0)+IF('Decision Points'!$C$6=Levers!$A$30,Levers!$B$30,0)+IF('Decision Points'!$C$7="Base",0,0)+IF('Decision Points'!$C$7=Levers!$A$35,Levers!$B$35,0)+IF('Decision Points'!$C$7=Levers!$A$36,Levers!$B$36,0)</f>
        <v>5.4300000000000001E-2</v>
      </c>
      <c r="F23" s="104">
        <f>0.0499+IF('Decision Points'!$C$6="Base",0,0)+IF('Decision Points'!$C$6=Levers!A29,Levers!$B$29,0)+IF('Decision Points'!$C$6=Levers!$A$30,Levers!$B$30,0)+IF('Decision Points'!$C$7="Base",0,0)+IF('Decision Points'!$C$7=Levers!$A$35,Levers!$B$35,0)+IF('Decision Points'!$C$7=Levers!$A$36,Levers!$B$36,0)</f>
        <v>4.99E-2</v>
      </c>
      <c r="G23" s="104">
        <f>0.0519+IF('Decision Points'!$C$6="Base",0,0)+IF('Decision Points'!$C$6=Levers!A29,Levers!$B$29,0)+IF('Decision Points'!$C$6=Levers!$A$30,Levers!$B$30,0)+IF('Decision Points'!$C$7="Base",0,0)+IF('Decision Points'!$C$7=Levers!$A$35,Levers!$B$35,0)+IF('Decision Points'!$C$7=Levers!$A$36,Levers!$B$36,0)</f>
        <v>5.1900000000000002E-2</v>
      </c>
      <c r="H23" s="104">
        <f>0.0493+IF('Decision Points'!$C$6="Base",0,0)+IF('Decision Points'!$C$6=Levers!A29,Levers!$B$29,0)+IF('Decision Points'!$C$6=Levers!$A$30,Levers!$B$30,0)+IF('Decision Points'!$C$7="Base",0,0)+IF('Decision Points'!$C$7=Levers!$A$35,Levers!$B$35,0)+IF('Decision Points'!$C$7=Levers!$A$36,Levers!$B$36,0)</f>
        <v>4.9299999999999997E-2</v>
      </c>
      <c r="I23" s="104">
        <f>0.0538+IF('Decision Points'!$C$6="Base",0,0)+IF('Decision Points'!$C$6=Levers!A29,Levers!$B$29,0)+IF('Decision Points'!$C$6=Levers!$A$30,Levers!$B$30,0)+IF('Decision Points'!$C$7="Base",0,0)+IF('Decision Points'!$C$7=Levers!$A$35,Levers!$B$35,0)+IF('Decision Points'!$C$7=Levers!$A$36,Levers!$B$36,0)</f>
        <v>5.3800000000000001E-2</v>
      </c>
      <c r="J23" s="104">
        <f>0.0544+IF('Decision Points'!$C$6="Base",0,0)+IF('Decision Points'!$C$6=Levers!A29,Levers!$B$29,0)+IF('Decision Points'!$C$6=Levers!$A$30,Levers!$B$30,0)+IF('Decision Points'!$C$7="Base",0,0)+IF('Decision Points'!$C$7=Levers!$A$35,Levers!$B$35,0)+IF('Decision Points'!$C$7=Levers!$A$36,Levers!$B$36,0)</f>
        <v>5.4399999999999997E-2</v>
      </c>
      <c r="K23" s="104">
        <f>0.0519+IF('Decision Points'!$C$6="Base",0,0)+IF('Decision Points'!$C$6=Levers!A29,Levers!$B$29,0)+IF('Decision Points'!$C$6=Levers!$A$30,Levers!$B$30,0)+IF('Decision Points'!$C$7="Base",0,0)+IF('Decision Points'!$C$7=Levers!$A$35,Levers!$B$35,0)+IF('Decision Points'!$C$7=Levers!$A$36,Levers!$B$36,0)</f>
        <v>5.1900000000000002E-2</v>
      </c>
      <c r="L23" s="104">
        <f>0.0549+IF('Decision Points'!$C$6="Base",0,0)+IF('Decision Points'!$C$6=Levers!A29,Levers!$B$29,0)+IF('Decision Points'!$C$6=Levers!$A$30,Levers!$B$30,0)+IF('Decision Points'!$C$7="Base",0,0)+IF('Decision Points'!$C$7=Levers!$A$35,Levers!$B$35,0)+IF('Decision Points'!$C$7=Levers!$A$36,Levers!$B$36,0)</f>
        <v>5.4899999999999997E-2</v>
      </c>
      <c r="M23" s="104">
        <f>0.049+IF('Decision Points'!$C$6="Base",0,0)+IF('Decision Points'!$C$6=Levers!A29,Levers!$B$29,0)+IF('Decision Points'!$C$6=Levers!$A$30,Levers!$B$30,0)+IF('Decision Points'!$C$7="Base",0,0)+IF('Decision Points'!$C$7=Levers!$A$35,Levers!$B$35,0)+IF('Decision Points'!$C$7=Levers!$A$36,Levers!$B$36,0)</f>
        <v>4.9000000000000002E-2</v>
      </c>
      <c r="N23" s="105"/>
    </row>
    <row r="24" spans="2:15" s="44" customFormat="1" ht="8.85" customHeight="1">
      <c r="B24" s="57"/>
      <c r="C24" s="99"/>
      <c r="D24" s="99"/>
      <c r="E24" s="99"/>
      <c r="F24" s="99"/>
      <c r="G24" s="99"/>
      <c r="H24" s="99"/>
      <c r="I24" s="99"/>
      <c r="J24" s="99"/>
      <c r="K24" s="99"/>
      <c r="L24" s="99"/>
      <c r="M24" s="99"/>
      <c r="N24" s="106"/>
    </row>
    <row r="25" spans="2:15">
      <c r="B25" s="62" t="s">
        <v>49</v>
      </c>
      <c r="C25" s="107">
        <f>+C21+C17</f>
        <v>2118200</v>
      </c>
      <c r="D25" s="166">
        <f>+D21+D17</f>
        <v>2253320.7480000001</v>
      </c>
      <c r="E25" s="107">
        <f t="shared" ref="E25:M25" si="9">+E21+E17</f>
        <v>2601830.1874419367</v>
      </c>
      <c r="F25" s="107">
        <f t="shared" si="9"/>
        <v>2684206.0963048884</v>
      </c>
      <c r="G25" s="107">
        <f t="shared" si="9"/>
        <v>2889003.7565076766</v>
      </c>
      <c r="H25" s="107">
        <f t="shared" si="9"/>
        <v>3078201.1723504383</v>
      </c>
      <c r="I25" s="107">
        <f t="shared" si="9"/>
        <v>3260476.8822340909</v>
      </c>
      <c r="J25" s="107">
        <f t="shared" si="9"/>
        <v>3463285.7434152821</v>
      </c>
      <c r="K25" s="107">
        <f t="shared" si="9"/>
        <v>3601384.8405376477</v>
      </c>
      <c r="L25" s="107">
        <f>+L21+L17</f>
        <v>3784711.9580066893</v>
      </c>
      <c r="M25" s="107">
        <f t="shared" si="9"/>
        <v>4001098.8476738571</v>
      </c>
      <c r="N25" s="108">
        <f>SUM(C25:M25)</f>
        <v>33735720.232472509</v>
      </c>
      <c r="O25" s="41"/>
    </row>
    <row r="26" spans="2:15" s="51" customFormat="1" ht="13.9" customHeight="1">
      <c r="B26" s="59" t="s">
        <v>42</v>
      </c>
      <c r="C26" s="102">
        <f>C25/C7</f>
        <v>0.37824999999999998</v>
      </c>
      <c r="D26" s="102">
        <f t="shared" ref="D26:N26" si="10">D25/D7</f>
        <v>0.37648764935393025</v>
      </c>
      <c r="E26" s="102">
        <f t="shared" si="10"/>
        <v>0.40639914970989865</v>
      </c>
      <c r="F26" s="102">
        <f t="shared" si="10"/>
        <v>0.39263738620527083</v>
      </c>
      <c r="G26" s="102">
        <f t="shared" si="10"/>
        <v>0.39470103400576523</v>
      </c>
      <c r="H26" s="102">
        <f t="shared" si="10"/>
        <v>0.39410508361005642</v>
      </c>
      <c r="I26" s="102">
        <f t="shared" si="10"/>
        <v>0.38981577563301839</v>
      </c>
      <c r="J26" s="102">
        <f t="shared" si="10"/>
        <v>0.3864584504703335</v>
      </c>
      <c r="K26" s="102">
        <f t="shared" si="10"/>
        <v>0.37386250541145255</v>
      </c>
      <c r="L26" s="102">
        <f t="shared" si="10"/>
        <v>0.36815389169317353</v>
      </c>
      <c r="M26" s="102">
        <f t="shared" si="10"/>
        <v>0.36619468752933249</v>
      </c>
      <c r="N26" s="103">
        <f t="shared" si="10"/>
        <v>0.38284381239495591</v>
      </c>
    </row>
    <row r="27" spans="2:15" ht="8.85" customHeight="1">
      <c r="B27" s="56"/>
      <c r="C27" s="156"/>
      <c r="D27" s="156"/>
      <c r="E27" s="156"/>
      <c r="F27" s="156"/>
      <c r="G27" s="156"/>
      <c r="H27" s="156"/>
      <c r="I27" s="156"/>
      <c r="J27" s="156"/>
      <c r="K27" s="156"/>
      <c r="L27" s="156"/>
      <c r="M27" s="156"/>
      <c r="N27" s="156"/>
    </row>
    <row r="28" spans="2:15">
      <c r="B28" s="58" t="s">
        <v>50</v>
      </c>
      <c r="C28" s="96">
        <f>+C7*C29</f>
        <v>112560</v>
      </c>
      <c r="D28" s="96">
        <f t="shared" ref="D28:M28" si="11">+D4*D29</f>
        <v>97167.005799999984</v>
      </c>
      <c r="E28" s="96">
        <f t="shared" si="11"/>
        <v>116597.626728264</v>
      </c>
      <c r="F28" s="96">
        <f t="shared" si="11"/>
        <v>139042.01483060807</v>
      </c>
      <c r="G28" s="96">
        <f t="shared" si="11"/>
        <v>124290.04637472206</v>
      </c>
      <c r="H28" s="96">
        <f t="shared" si="11"/>
        <v>113774.96048707966</v>
      </c>
      <c r="I28" s="96">
        <f t="shared" si="11"/>
        <v>123604.14410108746</v>
      </c>
      <c r="J28" s="96">
        <f t="shared" si="11"/>
        <v>131629.76117757108</v>
      </c>
      <c r="K28" s="96">
        <f t="shared" si="11"/>
        <v>190046.69343206586</v>
      </c>
      <c r="L28" s="96">
        <f t="shared" si="11"/>
        <v>192511.31397583958</v>
      </c>
      <c r="M28" s="96">
        <f t="shared" si="11"/>
        <v>199096.72286189764</v>
      </c>
      <c r="N28" s="101">
        <f>SUM(C28:M28)</f>
        <v>1540320.2897691354</v>
      </c>
    </row>
    <row r="29" spans="2:15" s="51" customFormat="1" ht="13.9" customHeight="1">
      <c r="B29" s="59" t="s">
        <v>42</v>
      </c>
      <c r="C29" s="102">
        <v>2.01E-2</v>
      </c>
      <c r="D29" s="102">
        <v>1.6299999999999999E-2</v>
      </c>
      <c r="E29" s="102">
        <v>1.78E-2</v>
      </c>
      <c r="F29" s="102">
        <v>0.02</v>
      </c>
      <c r="G29" s="102">
        <v>1.6799999999999999E-2</v>
      </c>
      <c r="H29" s="102">
        <v>1.4500000000000001E-2</v>
      </c>
      <c r="I29" s="102">
        <v>1.4799999999999999E-2</v>
      </c>
      <c r="J29" s="102">
        <v>1.4800000000000001E-2</v>
      </c>
      <c r="K29" s="102">
        <v>0.02</v>
      </c>
      <c r="L29" s="102">
        <v>1.9099999999999999E-2</v>
      </c>
      <c r="M29" s="102">
        <v>1.8700000000000001E-2</v>
      </c>
      <c r="N29" s="103">
        <f>N28/$N$7</f>
        <v>1.748005046226634E-2</v>
      </c>
    </row>
    <row r="30" spans="2:15" s="44" customFormat="1" ht="8.85" customHeight="1">
      <c r="B30" s="57"/>
      <c r="C30" s="99"/>
      <c r="D30" s="99"/>
      <c r="E30" s="99"/>
      <c r="F30" s="99"/>
      <c r="G30" s="99"/>
      <c r="H30" s="99"/>
      <c r="I30" s="99"/>
      <c r="J30" s="99"/>
      <c r="K30" s="99"/>
      <c r="L30" s="99"/>
      <c r="M30" s="99"/>
      <c r="N30" s="106"/>
    </row>
    <row r="31" spans="2:15">
      <c r="B31" s="62" t="s">
        <v>51</v>
      </c>
      <c r="C31" s="107">
        <f t="shared" ref="C31:M31" si="12">+C7-C10-C25-C28</f>
        <v>1638840</v>
      </c>
      <c r="D31" s="107">
        <f>+D7-D10-D25-D28</f>
        <v>1789643.3691999996</v>
      </c>
      <c r="E31" s="107">
        <f t="shared" si="12"/>
        <v>1683880.9787460349</v>
      </c>
      <c r="F31" s="107">
        <f t="shared" si="12"/>
        <v>1856558.9682559029</v>
      </c>
      <c r="G31" s="107">
        <f t="shared" si="12"/>
        <v>2046764.2053560882</v>
      </c>
      <c r="H31" s="107">
        <f t="shared" si="12"/>
        <v>2216020.7292127246</v>
      </c>
      <c r="I31" s="107">
        <f t="shared" si="12"/>
        <v>2394402.0131836743</v>
      </c>
      <c r="J31" s="107">
        <f t="shared" si="12"/>
        <v>2635366.1583397086</v>
      </c>
      <c r="K31" s="107">
        <f t="shared" si="12"/>
        <v>2904309.4230287448</v>
      </c>
      <c r="L31" s="107">
        <f t="shared" si="12"/>
        <v>3269204.0167596503</v>
      </c>
      <c r="M31" s="107">
        <f t="shared" si="12"/>
        <v>3511662.3603146821</v>
      </c>
      <c r="N31" s="108">
        <f>SUM(C31:M31)</f>
        <v>25946652.222397208</v>
      </c>
    </row>
    <row r="32" spans="2:15" s="51" customFormat="1" ht="13.9" customHeight="1">
      <c r="B32" s="59" t="s">
        <v>42</v>
      </c>
      <c r="C32" s="102">
        <f>+C31/C7</f>
        <v>0.29265000000000002</v>
      </c>
      <c r="D32" s="102">
        <f t="shared" ref="D32:N32" si="13">+D31/D7</f>
        <v>0.29901585286958698</v>
      </c>
      <c r="E32" s="102">
        <f t="shared" si="13"/>
        <v>0.26301785615297085</v>
      </c>
      <c r="F32" s="102">
        <f t="shared" si="13"/>
        <v>0.27157171784813389</v>
      </c>
      <c r="G32" s="102">
        <f t="shared" si="13"/>
        <v>0.27963270951111685</v>
      </c>
      <c r="H32" s="102">
        <f t="shared" si="13"/>
        <v>0.28371928469546204</v>
      </c>
      <c r="I32" s="102">
        <f t="shared" si="13"/>
        <v>0.28626968129487312</v>
      </c>
      <c r="J32" s="102">
        <f t="shared" si="13"/>
        <v>0.29407320025796557</v>
      </c>
      <c r="K32" s="102">
        <f t="shared" si="13"/>
        <v>0.30149857498192739</v>
      </c>
      <c r="L32" s="102">
        <f t="shared" si="13"/>
        <v>0.31800839663975639</v>
      </c>
      <c r="M32" s="102">
        <f t="shared" si="13"/>
        <v>0.32139973284878354</v>
      </c>
      <c r="N32" s="103">
        <f t="shared" si="13"/>
        <v>0.29445096139216381</v>
      </c>
    </row>
    <row r="33" spans="2:14" ht="8.85" customHeight="1">
      <c r="B33" s="56"/>
      <c r="C33" s="109"/>
      <c r="D33" s="109"/>
      <c r="E33" s="109"/>
      <c r="F33" s="109"/>
      <c r="G33" s="109"/>
      <c r="H33" s="109"/>
      <c r="I33" s="109"/>
      <c r="J33" s="109"/>
      <c r="K33" s="109"/>
      <c r="L33" s="109"/>
      <c r="M33" s="109"/>
      <c r="N33" s="110"/>
    </row>
    <row r="34" spans="2:14">
      <c r="B34" s="58" t="s">
        <v>52</v>
      </c>
      <c r="C34" s="96">
        <f>+C31*C35</f>
        <v>393321.6</v>
      </c>
      <c r="D34" s="96">
        <f>+D31*D35</f>
        <v>429514.40860799991</v>
      </c>
      <c r="E34" s="96">
        <f t="shared" ref="E34:K34" si="14">+E31*E35</f>
        <v>404131.43489904836</v>
      </c>
      <c r="F34" s="96">
        <f t="shared" si="14"/>
        <v>445574.1523814167</v>
      </c>
      <c r="G34" s="96">
        <f t="shared" si="14"/>
        <v>491223.40928546118</v>
      </c>
      <c r="H34" s="96">
        <f t="shared" si="14"/>
        <v>531844.97501105384</v>
      </c>
      <c r="I34" s="96">
        <f t="shared" si="14"/>
        <v>574656.48316408182</v>
      </c>
      <c r="J34" s="96">
        <f t="shared" si="14"/>
        <v>632487.87800153007</v>
      </c>
      <c r="K34" s="96">
        <f t="shared" si="14"/>
        <v>697034.26152689871</v>
      </c>
      <c r="L34" s="96">
        <f>+L31*L35</f>
        <v>784608.96402231604</v>
      </c>
      <c r="M34" s="96">
        <f>+M31*M35</f>
        <v>842798.96647552366</v>
      </c>
      <c r="N34" s="101">
        <f>SUM(C34:M34)</f>
        <v>6227196.5333753312</v>
      </c>
    </row>
    <row r="35" spans="2:14" s="50" customFormat="1" ht="13.9" customHeight="1">
      <c r="B35" s="59" t="s">
        <v>53</v>
      </c>
      <c r="C35" s="111">
        <v>0.24</v>
      </c>
      <c r="D35" s="111">
        <v>0.24</v>
      </c>
      <c r="E35" s="111">
        <v>0.24</v>
      </c>
      <c r="F35" s="111">
        <v>0.24</v>
      </c>
      <c r="G35" s="111">
        <v>0.24</v>
      </c>
      <c r="H35" s="111">
        <v>0.24</v>
      </c>
      <c r="I35" s="111">
        <v>0.24</v>
      </c>
      <c r="J35" s="111">
        <v>0.24</v>
      </c>
      <c r="K35" s="111">
        <v>0.24</v>
      </c>
      <c r="L35" s="111">
        <v>0.24</v>
      </c>
      <c r="M35" s="111">
        <v>0.24</v>
      </c>
      <c r="N35" s="112">
        <f>N34/$N$31</f>
        <v>0.24000000000000005</v>
      </c>
    </row>
    <row r="36" spans="2:14" s="46" customFormat="1" ht="8.85" customHeight="1">
      <c r="B36" s="64"/>
      <c r="C36" s="113"/>
      <c r="D36" s="113"/>
      <c r="E36" s="113"/>
      <c r="F36" s="113"/>
      <c r="G36" s="113"/>
      <c r="H36" s="113"/>
      <c r="I36" s="113"/>
      <c r="J36" s="113"/>
      <c r="K36" s="113"/>
      <c r="L36" s="113"/>
      <c r="M36" s="113"/>
      <c r="N36" s="114"/>
    </row>
    <row r="37" spans="2:14">
      <c r="B37" s="62" t="s">
        <v>54</v>
      </c>
      <c r="C37" s="107">
        <f>+C31-C34</f>
        <v>1245518.3999999999</v>
      </c>
      <c r="D37" s="107">
        <f>+D31-D34</f>
        <v>1360128.9605919998</v>
      </c>
      <c r="E37" s="107">
        <f t="shared" ref="E37:M37" si="15">+E31-E34</f>
        <v>1279749.5438469865</v>
      </c>
      <c r="F37" s="107">
        <f t="shared" si="15"/>
        <v>1410984.8158744862</v>
      </c>
      <c r="G37" s="107">
        <f t="shared" si="15"/>
        <v>1555540.7960706269</v>
      </c>
      <c r="H37" s="107">
        <f t="shared" si="15"/>
        <v>1684175.7542016706</v>
      </c>
      <c r="I37" s="107">
        <f t="shared" si="15"/>
        <v>1819745.5300195925</v>
      </c>
      <c r="J37" s="107">
        <f t="shared" si="15"/>
        <v>2002878.2803381784</v>
      </c>
      <c r="K37" s="107">
        <f t="shared" si="15"/>
        <v>2207275.1615018463</v>
      </c>
      <c r="L37" s="107">
        <f t="shared" si="15"/>
        <v>2484595.0527373343</v>
      </c>
      <c r="M37" s="107">
        <f t="shared" si="15"/>
        <v>2668863.3938391586</v>
      </c>
      <c r="N37" s="108">
        <f>SUM(C37:M37)</f>
        <v>19719455.689021878</v>
      </c>
    </row>
    <row r="38" spans="2:14" s="51" customFormat="1" ht="13.9" customHeight="1">
      <c r="B38" s="59" t="s">
        <v>42</v>
      </c>
      <c r="C38" s="102">
        <f>+C37/C7</f>
        <v>0.22241399999999997</v>
      </c>
      <c r="D38" s="102">
        <f t="shared" ref="D38:M38" si="16">+D37/D7</f>
        <v>0.22725204818088615</v>
      </c>
      <c r="E38" s="102">
        <f t="shared" si="16"/>
        <v>0.19989357067625785</v>
      </c>
      <c r="F38" s="102">
        <f t="shared" si="16"/>
        <v>0.20639450556458178</v>
      </c>
      <c r="G38" s="102">
        <f t="shared" si="16"/>
        <v>0.21252085922844877</v>
      </c>
      <c r="H38" s="102">
        <f t="shared" si="16"/>
        <v>0.21562665636855113</v>
      </c>
      <c r="I38" s="102">
        <f t="shared" si="16"/>
        <v>0.21756495778410356</v>
      </c>
      <c r="J38" s="102">
        <f t="shared" si="16"/>
        <v>0.22349563219605381</v>
      </c>
      <c r="K38" s="102">
        <f t="shared" si="16"/>
        <v>0.22913891698626485</v>
      </c>
      <c r="L38" s="102">
        <f t="shared" si="16"/>
        <v>0.24168638144621485</v>
      </c>
      <c r="M38" s="102">
        <f t="shared" si="16"/>
        <v>0.2442637969650755</v>
      </c>
      <c r="N38" s="115">
        <f>N37/N7</f>
        <v>0.22378273065804449</v>
      </c>
    </row>
  </sheetData>
  <sheetProtection algorithmName="SHA-512" hashValue="CCxk0YYvSfpCwdJShHHdhF6gClWFJzc5/l9hbSINyw+llVcbeq7ZIPKP7b6U4t48iJKSrPSvonV9iMHYryUYyw==" saltValue="Rz9iJj4plIdTJHkjMRkmwA==" spinCount="100000" sheet="1" objects="1" scenarios="1"/>
  <pageMargins left="0.7" right="0.7" top="0.75" bottom="0.75" header="0.3" footer="0.3"/>
  <customProperties>
    <customPr name="_pios_id" r:id="rId1"/>
  </customPropertie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07A5-DB5E-4BDA-95C3-005AA565C02C}">
  <sheetPr codeName="Sheet4">
    <tabColor theme="3" tint="0.79998168889431442"/>
  </sheetPr>
  <dimension ref="A1:N44"/>
  <sheetViews>
    <sheetView showGridLines="0" showRowColHeaders="0" tabSelected="1" workbookViewId="0">
      <selection activeCell="D28" sqref="D28"/>
    </sheetView>
  </sheetViews>
  <sheetFormatPr defaultColWidth="8.85546875" defaultRowHeight="14.45"/>
  <cols>
    <col min="1" max="1" width="11" style="40" customWidth="1"/>
    <col min="2" max="2" width="38.7109375" customWidth="1"/>
    <col min="3" max="14" width="18.28515625" customWidth="1"/>
  </cols>
  <sheetData>
    <row r="1" spans="1:14" s="40" customFormat="1" ht="24">
      <c r="A1" s="47"/>
      <c r="B1" s="49" t="s">
        <v>0</v>
      </c>
      <c r="C1" s="47"/>
      <c r="D1" s="47"/>
      <c r="E1" s="47"/>
      <c r="F1" s="47"/>
      <c r="G1" s="47"/>
      <c r="H1" s="47"/>
      <c r="I1" s="47"/>
      <c r="J1" s="47"/>
      <c r="K1" s="47"/>
      <c r="L1" s="47"/>
      <c r="M1" s="47"/>
      <c r="N1" s="47"/>
    </row>
    <row r="2" spans="1:14" s="40" customFormat="1" ht="24">
      <c r="A2" s="47"/>
      <c r="B2" s="49" t="s">
        <v>55</v>
      </c>
      <c r="C2" s="47"/>
      <c r="D2" s="47"/>
      <c r="E2" s="47"/>
      <c r="F2" s="47"/>
      <c r="G2" s="47"/>
      <c r="H2" s="47"/>
      <c r="I2" s="47"/>
      <c r="J2" s="47"/>
      <c r="K2" s="47"/>
      <c r="L2" s="47"/>
      <c r="M2" s="47"/>
      <c r="N2" s="48"/>
    </row>
    <row r="3" spans="1:14" s="40" customFormat="1" ht="6" customHeight="1">
      <c r="N3" s="41"/>
    </row>
    <row r="4" spans="1:14" s="40" customFormat="1">
      <c r="B4" s="52" t="s">
        <v>25</v>
      </c>
      <c r="C4" s="53"/>
      <c r="D4" s="53"/>
      <c r="E4" s="53"/>
      <c r="F4" s="53"/>
      <c r="G4" s="53"/>
      <c r="H4" s="53"/>
      <c r="I4" s="53"/>
      <c r="J4" s="53"/>
      <c r="K4" s="53"/>
      <c r="L4" s="53"/>
      <c r="M4" s="53"/>
      <c r="N4" s="53"/>
    </row>
    <row r="5" spans="1:14">
      <c r="B5" s="95" t="s">
        <v>26</v>
      </c>
      <c r="C5" s="65" t="s">
        <v>27</v>
      </c>
      <c r="D5" s="65" t="s">
        <v>28</v>
      </c>
      <c r="E5" s="65" t="s">
        <v>29</v>
      </c>
      <c r="F5" s="65" t="s">
        <v>30</v>
      </c>
      <c r="G5" s="65" t="s">
        <v>31</v>
      </c>
      <c r="H5" s="65" t="s">
        <v>32</v>
      </c>
      <c r="I5" s="65" t="s">
        <v>33</v>
      </c>
      <c r="J5" s="65" t="s">
        <v>34</v>
      </c>
      <c r="K5" s="65" t="s">
        <v>35</v>
      </c>
      <c r="L5" s="65" t="s">
        <v>36</v>
      </c>
      <c r="M5" s="65" t="s">
        <v>37</v>
      </c>
      <c r="N5" s="71" t="s">
        <v>38</v>
      </c>
    </row>
    <row r="6" spans="1:14">
      <c r="B6" s="66" t="s">
        <v>56</v>
      </c>
      <c r="C6" s="139">
        <f>+'Income Statement'!C37</f>
        <v>1245518.3999999999</v>
      </c>
      <c r="D6" s="139">
        <f>+'Income Statement'!D37</f>
        <v>1360128.9605919998</v>
      </c>
      <c r="E6" s="139">
        <f>+'Income Statement'!E37</f>
        <v>1279749.5438469865</v>
      </c>
      <c r="F6" s="139">
        <f>+'Income Statement'!F37</f>
        <v>1410984.8158744862</v>
      </c>
      <c r="G6" s="139">
        <f>+'Income Statement'!G37</f>
        <v>1555540.7960706269</v>
      </c>
      <c r="H6" s="139">
        <f>+'Income Statement'!H37</f>
        <v>1684175.7542016706</v>
      </c>
      <c r="I6" s="139">
        <f>+'Income Statement'!I37</f>
        <v>1819745.5300195925</v>
      </c>
      <c r="J6" s="139">
        <f>+'Income Statement'!J37</f>
        <v>2002878.2803381784</v>
      </c>
      <c r="K6" s="139">
        <f>+'Income Statement'!K37</f>
        <v>2207275.1615018463</v>
      </c>
      <c r="L6" s="139">
        <f>+'Income Statement'!L37</f>
        <v>2484595.0527373343</v>
      </c>
      <c r="M6" s="139">
        <f>+'Income Statement'!M37</f>
        <v>2668863.3938391586</v>
      </c>
      <c r="N6" s="140">
        <f>SUM(C6:M6)</f>
        <v>19719455.689021878</v>
      </c>
    </row>
    <row r="7" spans="1:14" ht="7.15" customHeight="1">
      <c r="B7" s="66"/>
      <c r="C7" s="141"/>
      <c r="D7" s="141"/>
      <c r="E7" s="141"/>
      <c r="F7" s="141"/>
      <c r="G7" s="141"/>
      <c r="H7" s="141"/>
      <c r="I7" s="141"/>
      <c r="J7" s="141"/>
      <c r="K7" s="141"/>
      <c r="L7" s="141"/>
      <c r="M7" s="141"/>
      <c r="N7" s="142"/>
    </row>
    <row r="8" spans="1:14">
      <c r="B8" s="66" t="s">
        <v>57</v>
      </c>
      <c r="C8" s="139">
        <f>C$6*Levers!B57+IF('Decision Points'!$C$6="Base",0,0)+IF('Decision Points'!$C$6=Levers!A29,Levers!$D$29+(C6*0.1),0)+IF('Decision Points'!$C$6=Levers!$A$30,0,0)+IF('Decision Points'!$C$7="Base",0,0)+IF('Decision Points'!$C$7=Levers!$A$35,Levers!$D$35+(C6*0.1),0)+IF('Decision Points'!$C$7=Levers!$A$36,0,0)</f>
        <v>211738.128</v>
      </c>
      <c r="D8" s="163" cm="1">
        <f t="array" ref="D8">(D$6*Levers!C57)*(1+_xlfn.SWITCH('Decision Points'!$C$10,"Outsource",0,"Base",0,"New Plant Construction",'Supply Chain &amp; Human Capital'!H17,"Plant Expansion",'Supply Chain &amp; Human Capital'!H16))</f>
        <v>190418.05448287999</v>
      </c>
      <c r="E8" s="163" cm="1">
        <f t="array" ref="E8">(E$6*Levers!D57)*(1+_xlfn.SWITCH('Decision Points'!$C$10,"Outsource",0,"Base",0,"New Plant Construction",'Supply Chain &amp; Human Capital'!I17,"Plant Expansion",'Supply Chain &amp; Human Capital'!I16))</f>
        <v>179164.93613857814</v>
      </c>
      <c r="F8" s="163" cm="1">
        <f t="array" ref="F8">(F$6*Levers!E57)*(1+_xlfn.SWITCH('Decision Points'!$C$10,"Outsource",0,"Base",0,"New Plant Construction",'Supply Chain &amp; Human Capital'!J17,"Plant Expansion",'Supply Chain &amp; Human Capital'!J16))</f>
        <v>211647.72238117293</v>
      </c>
      <c r="G8" s="163" cm="1">
        <f t="array" ref="G8">(G$6*Levers!F57)*(1+_xlfn.SWITCH('Decision Points'!$C$10,"Outsource",0,"Base",0,"New Plant Construction",'Supply Chain &amp; Human Capital'!K17,"Plant Expansion",'Supply Chain &amp; Human Capital'!K16))</f>
        <v>264441.9353320066</v>
      </c>
      <c r="H8" s="163" cm="1">
        <f t="array" ref="H8">(H$6*Levers!G57)*(1+_xlfn.SWITCH('Decision Points'!$C$10,"Outsource",0,"Base",0,"New Plant Construction",'Supply Chain &amp; Human Capital'!L17,"Plant Expansion",'Supply Chain &amp; Human Capital'!L16))</f>
        <v>269468.12067226728</v>
      </c>
      <c r="I8" s="163" cm="1">
        <f t="array" ref="I8">I$6*Levers!H57*(1+_xlfn.SWITCH('Decision Points'!$C$10,"Outsource",0,"Base",0,"New Plant Construction",'Supply Chain &amp; Human Capital'!L17,"Plant Expansion",'Supply Chain &amp; Human Capital'!L16))</f>
        <v>254764.37420274297</v>
      </c>
      <c r="J8" s="163" cm="1">
        <f t="array" ref="J8">J$6*Levers!I57*(1+_xlfn.SWITCH('Decision Points'!$C$10,"Outsource",0,"Base",0,"New Plant Construction",'Supply Chain &amp; Human Capital'!L17,"Plant Expansion",'Supply Chain &amp; Human Capital'!L16))</f>
        <v>300431.74205072672</v>
      </c>
      <c r="K8" s="163" cm="1">
        <f t="array" ref="K8">K$6*Levers!J57*(1+_xlfn.SWITCH('Decision Points'!$C$10,"Outsource",0,"Base",0,"New Plant Construction",'Supply Chain &amp; Human Capital'!L17,"Plant Expansion",'Supply Chain &amp; Human Capital'!L16))</f>
        <v>309018.52261025849</v>
      </c>
      <c r="L8" s="163" cm="1">
        <f t="array" ref="L8">L$6*Levers!K57*(1+_xlfn.SWITCH('Decision Points'!$C$10,"Outsource",0,"Base",0,"New Plant Construction",'Supply Chain &amp; Human Capital'!L17,"Plant Expansion",'Supply Chain &amp; Human Capital'!L16))</f>
        <v>372689.25791060011</v>
      </c>
      <c r="M8" s="163" cm="1">
        <f t="array" ref="M8">M$6*Levers!L57*(1+_xlfn.SWITCH('Decision Points'!$C$10,"Outsource",0,"Base",0,"New Plant Construction",'Supply Chain &amp; Human Capital'!L17,"Plant Expansion",'Supply Chain &amp; Human Capital'!L16))</f>
        <v>453706.77695265698</v>
      </c>
      <c r="N8" s="140">
        <f>SUM(C8:M8)</f>
        <v>3017489.5707338895</v>
      </c>
    </row>
    <row r="9" spans="1:14" ht="7.15" customHeight="1">
      <c r="B9" s="66"/>
      <c r="C9" s="141"/>
      <c r="D9" s="141"/>
      <c r="E9" s="141"/>
      <c r="F9" s="141"/>
      <c r="G9" s="141"/>
      <c r="H9" s="141"/>
      <c r="I9" s="141"/>
      <c r="J9" s="141"/>
      <c r="K9" s="141"/>
      <c r="L9" s="141"/>
      <c r="M9" s="141"/>
      <c r="N9" s="142"/>
    </row>
    <row r="10" spans="1:14">
      <c r="B10" s="66" t="s">
        <v>58</v>
      </c>
      <c r="C10" s="139">
        <f>C$6*Levers!$B$58+IF('Decision Points'!$C$6="Base",0,0)+IF('Decision Points'!$C$6=Levers!$A$29,Levers!$E$29,0)+IF('Decision Points'!$C$6=Levers!$A$30,0,0)+IF('Decision Points'!$C$7="Base",0,0)+IF('Decision Points'!$C$7=Levers!$A$35,Levers!$E$35,0)+IF('Decision Points'!$C$7=Levers!$A$36,Levers!$D$36,0)</f>
        <v>124551.84</v>
      </c>
      <c r="D10" s="139">
        <f>D$6*Levers!C58+IF('Decision Points'!$C$6="Base",0,0)+IF('Decision Points'!$C$6=Levers!A29,Levers!$E$29,0)+IF('Decision Points'!$C$6=Levers!$A$30,0,0)+IF('Decision Points'!$C$7="Base",0,0)+IF('Decision Points'!$C$7=Levers!$A$35,Levers!$E$35,0)+IF('Decision Points'!$C$7=Levers!$A$36,Levers!$D$36,0)</f>
        <v>136012.89605919999</v>
      </c>
      <c r="E10" s="139">
        <f>E$6*Levers!D58+IF('Decision Points'!$C$6="Base",0,0)+IF('Decision Points'!$C$6=Levers!A29,Levers!$E$29,0)+IF('Decision Points'!$C$6=Levers!$A$30,0,0)+IF('Decision Points'!$C$7="Base",0,0)+IF('Decision Points'!$C$7=Levers!$A$35,Levers!$E$35,0)+IF('Decision Points'!$C$7=Levers!$A$36,Levers!$D$36,0)</f>
        <v>153569.94526163838</v>
      </c>
      <c r="F10" s="139">
        <f>F$6*Levers!E58+IF('Decision Points'!$C$6="Base",0,0)+IF('Decision Points'!$C$6=Levers!A29,Levers!$E$29,0)+IF('Decision Points'!$C$6=Levers!$A$30,0,0)+IF('Decision Points'!$C$7="Base",0,0)+IF('Decision Points'!$C$7=Levers!$A$35,Levers!$E$35,0)+IF('Decision Points'!$C$7=Levers!$A$36,Levers!$D$36,0)</f>
        <v>183428.02606368321</v>
      </c>
      <c r="G10" s="139">
        <f>G$6*Levers!F58+IF('Decision Points'!$C$6="Base",0,0)+IF('Decision Points'!$C$6=Levers!A29,Levers!$E$29,0)+IF('Decision Points'!$C$6=Levers!$A$30,0,0)+IF('Decision Points'!$C$7="Base",0,0)+IF('Decision Points'!$C$7=Levers!$A$35,Levers!$E$35,0)+IF('Decision Points'!$C$7=Levers!$A$36,Levers!$D$36,0)</f>
        <v>139998.67164635641</v>
      </c>
      <c r="H10" s="139">
        <f>H$6*Levers!G58+IF('Decision Points'!$C$6="Base",0,0)+IF('Decision Points'!$C$6=Levers!A29,Levers!$E$29,0)+IF('Decision Points'!$C$6=Levers!$A$30,0,0)+IF('Decision Points'!$C$7="Base",0,0)+IF('Decision Points'!$C$7=Levers!$A$35,Levers!$E$35,0)+IF('Decision Points'!$C$7=Levers!$A$36,Levers!$D$36,0)</f>
        <v>168417.57542016706</v>
      </c>
      <c r="I10" s="139">
        <f>I$6*Levers!H58+IF('Decision Points'!$C$6="Base",0,0)+IF('Decision Points'!$C$6=Levers!A29,Levers!$E$29,0)+IF('Decision Points'!$C$6=Levers!$A$30,0,0)+IF('Decision Points'!$C$7="Base",0,0)+IF('Decision Points'!$C$7=Levers!$A$35,Levers!$E$35,0)+IF('Decision Points'!$C$7=Levers!$A$36,Levers!$D$36,0)</f>
        <v>109184.73180117554</v>
      </c>
      <c r="J10" s="139">
        <f>J$6*Levers!I58+IF('Decision Points'!$C$6="Base",0,0)+IF('Decision Points'!$C$6=Levers!A29,Levers!$E$29,0)+IF('Decision Points'!$C$6=Levers!$A$30,0,0)+IF('Decision Points'!$C$7="Base",0,0)+IF('Decision Points'!$C$7=Levers!$A$35,Levers!$E$35,0)+IF('Decision Points'!$C$7=Levers!$A$36,Levers!$D$36,0)</f>
        <v>200287.82803381784</v>
      </c>
      <c r="K10" s="139">
        <f>K$6*Levers!J58+IF('Decision Points'!$C$6="Base",0,0)+IF('Decision Points'!$C$6=Levers!A29,Levers!$E$29,0)+IF('Decision Points'!$C$6=Levers!$A$30,0,0)+IF('Decision Points'!$C$7="Base",0,0)+IF('Decision Points'!$C$7=Levers!$A$35,Levers!$E$35,0)+IF('Decision Points'!$C$7=Levers!$A$36,Levers!$D$36,0)</f>
        <v>220727.51615018467</v>
      </c>
      <c r="L10" s="139">
        <f>L$6*Levers!K58+IF('Decision Points'!$C$6="Base",0,0)+IF('Decision Points'!$C$6=Levers!A29,Levers!$E$29,0)+IF('Decision Points'!$C$6=Levers!$A$30,0,0)+IF('Decision Points'!$C$7="Base",0,0)+IF('Decision Points'!$C$7=Levers!$A$35,Levers!$E$35,0)+IF('Decision Points'!$C$7=Levers!$A$36,Levers!$D$36,0)</f>
        <v>322997.35685585346</v>
      </c>
      <c r="M10" s="139">
        <f>M$6*Levers!L58+IF('Decision Points'!$C$6="Base",0,0)+IF('Decision Points'!$C$6=Levers!A29,Levers!$E$29,0)+IF('Decision Points'!$C$6=Levers!$A$30,0,0)+IF('Decision Points'!$C$7="Base",0,0)+IF('Decision Points'!$C$7=Levers!$A$35,Levers!$E$35,0)+IF('Decision Points'!$C$7=Levers!$A$36,Levers!$D$36,0)</f>
        <v>240197.70544552428</v>
      </c>
      <c r="N10" s="140">
        <f>SUM(C10:M10)</f>
        <v>1999374.0927376009</v>
      </c>
    </row>
    <row r="11" spans="1:14">
      <c r="B11" s="66"/>
      <c r="C11" s="141"/>
      <c r="D11" s="141"/>
      <c r="E11" s="141"/>
      <c r="F11" s="141"/>
      <c r="G11" s="141"/>
      <c r="H11" s="141"/>
      <c r="I11" s="141"/>
      <c r="J11" s="141"/>
      <c r="K11" s="141"/>
      <c r="L11" s="141"/>
      <c r="M11" s="141"/>
      <c r="N11" s="142"/>
    </row>
    <row r="12" spans="1:14">
      <c r="A12" s="44"/>
      <c r="B12" s="67" t="s">
        <v>59</v>
      </c>
      <c r="C12" s="141"/>
      <c r="D12" s="141"/>
      <c r="E12" s="141"/>
      <c r="F12" s="141"/>
      <c r="G12" s="141"/>
      <c r="H12" s="141"/>
      <c r="I12" s="141"/>
      <c r="J12" s="141"/>
      <c r="K12" s="141"/>
      <c r="L12" s="141"/>
      <c r="M12" s="141"/>
      <c r="N12" s="142"/>
    </row>
    <row r="13" spans="1:14" ht="7.15" customHeight="1">
      <c r="A13" s="44"/>
      <c r="B13" s="67"/>
      <c r="C13" s="141"/>
      <c r="D13" s="141"/>
      <c r="E13" s="141"/>
      <c r="F13" s="141"/>
      <c r="G13" s="141"/>
      <c r="H13" s="141"/>
      <c r="I13" s="141"/>
      <c r="J13" s="141"/>
      <c r="K13" s="141"/>
      <c r="L13" s="141"/>
      <c r="M13" s="141"/>
      <c r="N13" s="142"/>
    </row>
    <row r="14" spans="1:14">
      <c r="A14" s="44"/>
      <c r="B14" s="68" t="s">
        <v>60</v>
      </c>
      <c r="C14" s="143">
        <f>C$6*Levers!$B$59</f>
        <v>-286469.23200000002</v>
      </c>
      <c r="D14" s="143">
        <f>D$6*Levers!B59</f>
        <v>-312829.66093615995</v>
      </c>
      <c r="E14" s="143">
        <f>E$6*Levers!C59</f>
        <v>-294342.39508480689</v>
      </c>
      <c r="F14" s="139">
        <f>F$6*Levers!D59</f>
        <v>-296306.81133364211</v>
      </c>
      <c r="G14" s="139">
        <f>G$6*Levers!E59</f>
        <v>-326663.56717483164</v>
      </c>
      <c r="H14" s="139">
        <f>H$6*Levers!F59</f>
        <v>-370518.66592436755</v>
      </c>
      <c r="I14" s="139">
        <f>I$6*Levers!G59</f>
        <v>-454936.38250489812</v>
      </c>
      <c r="J14" s="139">
        <f>J$6*Levers!H59</f>
        <v>-480690.7872811628</v>
      </c>
      <c r="K14" s="139">
        <f>K$6*Levers!I59</f>
        <v>-507673.28714542469</v>
      </c>
      <c r="L14" s="139">
        <f>L$6*Levers!J59</f>
        <v>-521764.96107484016</v>
      </c>
      <c r="M14" s="139">
        <f>M$6*Levers!K59</f>
        <v>-560461.31270622334</v>
      </c>
      <c r="N14" s="140">
        <f>SUM(C14:M14)</f>
        <v>-4412657.0631663576</v>
      </c>
    </row>
    <row r="15" spans="1:14">
      <c r="B15" s="68" t="s">
        <v>61</v>
      </c>
      <c r="C15" s="143">
        <f>C$6*Levers!B60</f>
        <v>-361200.33599999995</v>
      </c>
      <c r="D15" s="143">
        <f>D$6*Levers!B60</f>
        <v>-394437.39857167989</v>
      </c>
      <c r="E15" s="143">
        <f>E$6*Levers!C60</f>
        <v>-371127.36771562608</v>
      </c>
      <c r="F15" s="139">
        <f>F$6*Levers!D60</f>
        <v>-409185.59660360101</v>
      </c>
      <c r="G15" s="139">
        <f>G$6*Levers!E60</f>
        <v>-388885.19901765673</v>
      </c>
      <c r="H15" s="139">
        <f>H$6*Levers!F60</f>
        <v>-471569.21117646783</v>
      </c>
      <c r="I15" s="139">
        <f>I$6*Levers!G60</f>
        <v>-509528.74840548594</v>
      </c>
      <c r="J15" s="139">
        <f>J$6*Levers!H60</f>
        <v>-480690.7872811628</v>
      </c>
      <c r="K15" s="139">
        <f>K$6*Levers!I60</f>
        <v>-529746.0387604431</v>
      </c>
      <c r="L15" s="139">
        <f>L$6*Levers!J60</f>
        <v>-571456.86212958687</v>
      </c>
      <c r="M15" s="139">
        <f>M$6*Levers!K60</f>
        <v>-613838.58058300649</v>
      </c>
      <c r="N15" s="140">
        <f>SUM(C15:M15)</f>
        <v>-5101666.1262447163</v>
      </c>
    </row>
    <row r="16" spans="1:14">
      <c r="A16" s="50"/>
      <c r="B16" s="68" t="s">
        <v>62</v>
      </c>
      <c r="C16" s="143">
        <f>C$6*Levers!B61</f>
        <v>199282.94399999999</v>
      </c>
      <c r="D16" s="143">
        <f>D$6*Levers!B61</f>
        <v>217620.63369471999</v>
      </c>
      <c r="E16" s="143">
        <f>E$6*Levers!C61</f>
        <v>217557.42245398773</v>
      </c>
      <c r="F16" s="139">
        <f>F$6*Levers!D61</f>
        <v>225757.5705399178</v>
      </c>
      <c r="G16" s="139">
        <f>G$6*Levers!E61</f>
        <v>233331.11941059402</v>
      </c>
      <c r="H16" s="139">
        <f>H$6*Levers!F61</f>
        <v>269468.12067226728</v>
      </c>
      <c r="I16" s="139">
        <f>I$6*Levers!G61</f>
        <v>291159.2848031348</v>
      </c>
      <c r="J16" s="139">
        <f>J$6*Levers!H61</f>
        <v>320460.52485410857</v>
      </c>
      <c r="K16" s="139">
        <f>K$6*Levers!I61</f>
        <v>331091.27422527695</v>
      </c>
      <c r="L16" s="139">
        <f>L$6*Levers!J61</f>
        <v>422381.15896534687</v>
      </c>
      <c r="M16" s="139">
        <f>M$6*Levers!K61</f>
        <v>453706.77695265698</v>
      </c>
      <c r="N16" s="140">
        <f>SUM(C16:M16)</f>
        <v>3181816.8305720109</v>
      </c>
    </row>
    <row r="17" spans="1:14" ht="7.15" customHeight="1">
      <c r="A17" s="50"/>
      <c r="B17" s="68"/>
      <c r="C17" s="144"/>
      <c r="D17" s="144"/>
      <c r="E17" s="144"/>
      <c r="F17" s="141"/>
      <c r="G17" s="141"/>
      <c r="H17" s="141"/>
      <c r="I17" s="141"/>
      <c r="J17" s="141"/>
      <c r="K17" s="141"/>
      <c r="L17" s="141"/>
      <c r="M17" s="141"/>
      <c r="N17" s="142"/>
    </row>
    <row r="18" spans="1:14">
      <c r="A18" s="44"/>
      <c r="B18" s="69" t="s">
        <v>63</v>
      </c>
      <c r="C18" s="143">
        <f t="shared" ref="C18:M18" si="0">SUM(C14:C16)</f>
        <v>-448386.62399999995</v>
      </c>
      <c r="D18" s="143">
        <f t="shared" si="0"/>
        <v>-489646.42581311986</v>
      </c>
      <c r="E18" s="143">
        <f t="shared" si="0"/>
        <v>-447912.34034644521</v>
      </c>
      <c r="F18" s="143">
        <f t="shared" si="0"/>
        <v>-479734.83739732532</v>
      </c>
      <c r="G18" s="143">
        <f t="shared" si="0"/>
        <v>-482217.64678189438</v>
      </c>
      <c r="H18" s="143">
        <f t="shared" si="0"/>
        <v>-572619.75642856804</v>
      </c>
      <c r="I18" s="143">
        <f t="shared" si="0"/>
        <v>-673305.84610724915</v>
      </c>
      <c r="J18" s="143">
        <f t="shared" si="0"/>
        <v>-640921.04970821703</v>
      </c>
      <c r="K18" s="143">
        <f t="shared" si="0"/>
        <v>-706328.05168059096</v>
      </c>
      <c r="L18" s="143">
        <f t="shared" si="0"/>
        <v>-670840.66423908016</v>
      </c>
      <c r="M18" s="143">
        <f t="shared" si="0"/>
        <v>-720593.11633657292</v>
      </c>
      <c r="N18" s="140">
        <f>SUM(C18:M18)</f>
        <v>-6332506.358839063</v>
      </c>
    </row>
    <row r="19" spans="1:14">
      <c r="A19" s="44"/>
      <c r="B19" s="56" t="s">
        <v>64</v>
      </c>
      <c r="C19" s="143">
        <f>C18--350000</f>
        <v>-98386.623999999953</v>
      </c>
      <c r="D19" s="143">
        <f>D18-C18</f>
        <v>-41259.801813119906</v>
      </c>
      <c r="E19" s="143">
        <f t="shared" ref="E19:M19" si="1">E18-D18</f>
        <v>41734.085466674645</v>
      </c>
      <c r="F19" s="143">
        <f t="shared" si="1"/>
        <v>-31822.497050880105</v>
      </c>
      <c r="G19" s="143">
        <f t="shared" si="1"/>
        <v>-2482.8093845690601</v>
      </c>
      <c r="H19" s="143">
        <f t="shared" si="1"/>
        <v>-90402.109646673664</v>
      </c>
      <c r="I19" s="143">
        <f t="shared" si="1"/>
        <v>-100686.08967868111</v>
      </c>
      <c r="J19" s="143">
        <f t="shared" si="1"/>
        <v>32384.796399032115</v>
      </c>
      <c r="K19" s="143">
        <f t="shared" si="1"/>
        <v>-65407.001972373924</v>
      </c>
      <c r="L19" s="143">
        <f t="shared" si="1"/>
        <v>35487.3874415108</v>
      </c>
      <c r="M19" s="143">
        <f t="shared" si="1"/>
        <v>-49752.452097492758</v>
      </c>
      <c r="N19" s="140">
        <f>SUM(C19:M19)</f>
        <v>-370593.11633657292</v>
      </c>
    </row>
    <row r="20" spans="1:14">
      <c r="B20" s="66"/>
      <c r="C20" s="141"/>
      <c r="D20" s="141"/>
      <c r="E20" s="141"/>
      <c r="F20" s="141"/>
      <c r="G20" s="141"/>
      <c r="H20" s="141"/>
      <c r="I20" s="141"/>
      <c r="J20" s="141"/>
      <c r="K20" s="141"/>
      <c r="L20" s="141"/>
      <c r="M20" s="141"/>
      <c r="N20" s="142"/>
    </row>
    <row r="21" spans="1:14">
      <c r="A21" s="51"/>
      <c r="B21" s="138" t="s">
        <v>65</v>
      </c>
      <c r="C21" s="145">
        <f>C6-C8+C10-C19</f>
        <v>1256718.736</v>
      </c>
      <c r="D21" s="145">
        <f t="shared" ref="D21:M21" si="2">D6-D8+D10-D19</f>
        <v>1346983.6039814395</v>
      </c>
      <c r="E21" s="145">
        <f t="shared" si="2"/>
        <v>1212420.4675033721</v>
      </c>
      <c r="F21" s="145">
        <f t="shared" si="2"/>
        <v>1414587.6166078765</v>
      </c>
      <c r="G21" s="145">
        <f t="shared" si="2"/>
        <v>1433580.3417695458</v>
      </c>
      <c r="H21" s="145">
        <f t="shared" si="2"/>
        <v>1673527.3185962439</v>
      </c>
      <c r="I21" s="145">
        <f t="shared" si="2"/>
        <v>1774851.9772967063</v>
      </c>
      <c r="J21" s="145">
        <f t="shared" si="2"/>
        <v>1870349.5699222377</v>
      </c>
      <c r="K21" s="145">
        <f t="shared" si="2"/>
        <v>2184391.1570141464</v>
      </c>
      <c r="L21" s="145">
        <f t="shared" si="2"/>
        <v>2399415.764241077</v>
      </c>
      <c r="M21" s="145">
        <f t="shared" si="2"/>
        <v>2505106.7744295187</v>
      </c>
      <c r="N21" s="146">
        <f>SUM(C21:M21)</f>
        <v>19071933.327362165</v>
      </c>
    </row>
    <row r="22" spans="1:14">
      <c r="A22" s="50"/>
      <c r="B22" s="66"/>
      <c r="C22" s="141"/>
      <c r="D22" s="141"/>
      <c r="E22" s="141"/>
      <c r="F22" s="141"/>
      <c r="G22" s="141"/>
      <c r="H22" s="141"/>
      <c r="I22" s="141"/>
      <c r="J22" s="141"/>
      <c r="K22" s="141"/>
      <c r="L22" s="141"/>
      <c r="M22" s="141"/>
      <c r="N22" s="142"/>
    </row>
    <row r="23" spans="1:14">
      <c r="A23" s="44"/>
      <c r="B23" s="70" t="s">
        <v>66</v>
      </c>
      <c r="C23" s="116">
        <v>7.0000000000000007E-2</v>
      </c>
      <c r="D23" s="147"/>
      <c r="E23" s="147"/>
      <c r="F23" s="147"/>
      <c r="G23" s="147"/>
      <c r="H23" s="147"/>
      <c r="I23" s="147"/>
      <c r="J23" s="147"/>
      <c r="K23" s="147"/>
      <c r="L23" s="147"/>
      <c r="M23" s="147"/>
      <c r="N23" s="148"/>
    </row>
    <row r="24" spans="1:14">
      <c r="A24" s="44"/>
      <c r="B24" s="66"/>
      <c r="C24" s="141"/>
      <c r="D24" s="141"/>
      <c r="E24" s="141"/>
      <c r="F24" s="141"/>
      <c r="G24" s="141"/>
      <c r="H24" s="141"/>
      <c r="I24" s="141"/>
      <c r="J24" s="141"/>
      <c r="K24" s="141"/>
      <c r="L24" s="141"/>
      <c r="M24" s="141"/>
      <c r="N24" s="142"/>
    </row>
    <row r="25" spans="1:14" hidden="1">
      <c r="A25" s="44"/>
      <c r="B25" s="66"/>
      <c r="C25" s="65">
        <v>0</v>
      </c>
      <c r="D25" s="65">
        <v>1</v>
      </c>
      <c r="E25" s="65">
        <v>2</v>
      </c>
      <c r="F25" s="65">
        <v>3</v>
      </c>
      <c r="G25" s="65">
        <v>4</v>
      </c>
      <c r="H25" s="65">
        <v>5</v>
      </c>
      <c r="I25" s="65">
        <v>6</v>
      </c>
      <c r="J25" s="65">
        <v>7</v>
      </c>
      <c r="K25" s="65">
        <v>8</v>
      </c>
      <c r="L25" s="65">
        <v>9</v>
      </c>
      <c r="M25" s="65">
        <v>10</v>
      </c>
      <c r="N25" s="167"/>
    </row>
    <row r="26" spans="1:14">
      <c r="B26" s="138" t="s">
        <v>67</v>
      </c>
      <c r="C26" s="145">
        <f>C21/(1+$C$23)^C25</f>
        <v>1256718.736</v>
      </c>
      <c r="D26" s="145">
        <f>D21/(1+$C$23)^D25</f>
        <v>1258863.1812910649</v>
      </c>
      <c r="E26" s="145">
        <f t="shared" ref="E26:M26" si="3">E21/(1+$C$23)^E25</f>
        <v>1058974.991268558</v>
      </c>
      <c r="F26" s="145">
        <f t="shared" si="3"/>
        <v>1154724.8681131001</v>
      </c>
      <c r="G26" s="145">
        <f t="shared" si="3"/>
        <v>1093671.5788214414</v>
      </c>
      <c r="H26" s="145">
        <f t="shared" si="3"/>
        <v>1193201.8491474837</v>
      </c>
      <c r="I26" s="145">
        <f t="shared" si="3"/>
        <v>1182658.8134970218</v>
      </c>
      <c r="J26" s="145">
        <f t="shared" si="3"/>
        <v>1164759.7119030296</v>
      </c>
      <c r="K26" s="145">
        <f t="shared" si="3"/>
        <v>1271335.5413135916</v>
      </c>
      <c r="L26" s="145">
        <f t="shared" si="3"/>
        <v>1305123.1966590527</v>
      </c>
      <c r="M26" s="145">
        <f t="shared" si="3"/>
        <v>1273469.255503132</v>
      </c>
      <c r="N26" s="146">
        <f>SUM(C26:M26)</f>
        <v>13213501.723517478</v>
      </c>
    </row>
    <row r="27" spans="1:14">
      <c r="A27" s="44"/>
      <c r="D27" s="164"/>
      <c r="E27" s="164"/>
      <c r="F27" s="164"/>
      <c r="G27" s="164"/>
      <c r="H27" s="164"/>
      <c r="I27" s="164"/>
      <c r="J27" s="164"/>
      <c r="K27" s="164"/>
      <c r="L27" s="164"/>
      <c r="M27" s="164"/>
      <c r="N27" s="164"/>
    </row>
    <row r="29" spans="1:14">
      <c r="A29" s="50"/>
    </row>
    <row r="30" spans="1:14">
      <c r="A30" s="44"/>
    </row>
    <row r="31" spans="1:14">
      <c r="A31" s="44"/>
    </row>
    <row r="35" spans="1:1">
      <c r="A35" s="51"/>
    </row>
    <row r="36" spans="1:1">
      <c r="A36" s="44"/>
    </row>
    <row r="38" spans="1:1">
      <c r="A38" s="51"/>
    </row>
    <row r="41" spans="1:1">
      <c r="A41" s="50"/>
    </row>
    <row r="42" spans="1:1">
      <c r="A42" s="46"/>
    </row>
    <row r="44" spans="1:1">
      <c r="A44" s="51"/>
    </row>
  </sheetData>
  <sheetProtection algorithmName="SHA-512" hashValue="roi/T9UjMjHUopcAr4ZBIBoZ5HWhD1j/BTrlOxsHg0uKJvHtaC4qbtSFGw5w4kh5ACHYfHaJar4bITvLq/ZbUw==" saltValue="FEDca2z7NgmPHQQH+OYijw==" spinCount="100000" sheet="1" objects="1" scenarios="1"/>
  <pageMargins left="0.7" right="0.7" top="0.75" bottom="0.75" header="0.3" footer="0.3"/>
  <customProperties>
    <customPr name="_pios_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79E9-7264-49E7-97D7-90266F4D922A}">
  <sheetPr codeName="Sheet5">
    <tabColor theme="4" tint="0.79998168889431442"/>
  </sheetPr>
  <dimension ref="A1:P29"/>
  <sheetViews>
    <sheetView showGridLines="0" showRowColHeaders="0" workbookViewId="0">
      <selection activeCell="C14" sqref="C14:D14"/>
    </sheetView>
  </sheetViews>
  <sheetFormatPr defaultColWidth="8.85546875" defaultRowHeight="14.45"/>
  <cols>
    <col min="1" max="1" width="11" style="15" customWidth="1"/>
    <col min="2" max="2" width="38.7109375" style="15" customWidth="1"/>
    <col min="3" max="5" width="18.28515625" style="15" customWidth="1"/>
    <col min="6" max="6" width="20.140625" style="15" bestFit="1" customWidth="1"/>
    <col min="7" max="8" width="26.85546875" style="15" customWidth="1"/>
    <col min="9" max="15" width="8.85546875" style="15" customWidth="1"/>
    <col min="16" max="19" width="18.28515625" style="15" customWidth="1"/>
    <col min="20" max="16384" width="8.85546875" style="15"/>
  </cols>
  <sheetData>
    <row r="1" spans="1:16" s="121" customFormat="1" ht="24">
      <c r="A1" s="119"/>
      <c r="B1" s="120" t="s">
        <v>0</v>
      </c>
      <c r="C1" s="119"/>
      <c r="D1" s="119"/>
      <c r="E1" s="119"/>
      <c r="F1" s="119"/>
      <c r="G1" s="119"/>
      <c r="H1" s="119"/>
      <c r="I1" s="119"/>
      <c r="J1" s="119"/>
      <c r="K1" s="119"/>
      <c r="L1" s="119"/>
      <c r="M1" s="119"/>
      <c r="N1" s="119"/>
      <c r="O1" s="119"/>
    </row>
    <row r="2" spans="1:16" s="121" customFormat="1" ht="24">
      <c r="A2" s="122"/>
      <c r="B2" s="120" t="s">
        <v>68</v>
      </c>
      <c r="C2" s="119"/>
      <c r="D2" s="119"/>
      <c r="E2" s="119"/>
      <c r="F2" s="119"/>
      <c r="G2" s="119"/>
      <c r="H2" s="119"/>
      <c r="I2" s="119"/>
      <c r="J2" s="119"/>
      <c r="K2" s="119"/>
      <c r="L2" s="119"/>
      <c r="M2" s="119"/>
      <c r="N2" s="122"/>
      <c r="O2" s="122"/>
    </row>
    <row r="3" spans="1:16" s="121" customFormat="1" ht="6" customHeight="1">
      <c r="N3" s="123"/>
    </row>
    <row r="4" spans="1:16">
      <c r="B4" s="124" t="s">
        <v>69</v>
      </c>
      <c r="C4" s="125"/>
      <c r="D4" s="125"/>
      <c r="E4" s="125"/>
      <c r="F4" s="125"/>
      <c r="G4" s="125"/>
      <c r="H4" s="125"/>
      <c r="I4" s="125"/>
      <c r="J4" s="125"/>
      <c r="K4" s="125"/>
      <c r="L4" s="125"/>
      <c r="M4" s="125"/>
      <c r="N4" s="125"/>
      <c r="O4" s="125"/>
    </row>
    <row r="5" spans="1:16">
      <c r="B5" s="126"/>
      <c r="C5" s="90"/>
      <c r="D5" s="90"/>
      <c r="E5" s="90"/>
      <c r="F5" s="90"/>
      <c r="G5" s="90"/>
      <c r="H5" s="90"/>
      <c r="I5" s="90"/>
      <c r="J5" s="90"/>
      <c r="K5" s="90"/>
      <c r="L5" s="90"/>
      <c r="M5" s="90"/>
      <c r="N5" s="90"/>
    </row>
    <row r="6" spans="1:16">
      <c r="B6" s="179" t="s">
        <v>70</v>
      </c>
      <c r="C6" s="179"/>
      <c r="D6" s="179"/>
      <c r="E6" s="90"/>
      <c r="F6" s="180" t="s">
        <v>71</v>
      </c>
      <c r="G6" s="181"/>
      <c r="H6" s="182"/>
      <c r="I6" s="90"/>
      <c r="J6" s="90"/>
      <c r="K6" s="90"/>
      <c r="L6" s="90"/>
      <c r="M6" s="90"/>
      <c r="N6" s="90"/>
    </row>
    <row r="7" spans="1:16">
      <c r="B7" s="80" t="s">
        <v>72</v>
      </c>
      <c r="C7" s="80" t="s">
        <v>73</v>
      </c>
      <c r="D7" s="80" t="s">
        <v>74</v>
      </c>
      <c r="F7" s="159" t="s">
        <v>8</v>
      </c>
      <c r="G7" s="183" t="s">
        <v>9</v>
      </c>
      <c r="H7" s="184"/>
    </row>
    <row r="8" spans="1:16">
      <c r="B8" s="81" t="s">
        <v>39</v>
      </c>
      <c r="C8" s="127">
        <f>AVERAGE('Income Statement'!C7:M7)</f>
        <v>8010795.938719756</v>
      </c>
      <c r="D8" s="127">
        <f>+'Income Statement'!N7</f>
        <v>88118755.325917318</v>
      </c>
      <c r="E8" s="155"/>
      <c r="F8" s="160" t="s">
        <v>10</v>
      </c>
      <c r="G8" s="185" t="str">
        <f>'Decision Points'!C5</f>
        <v>Symmetrical: Base, Spiral: Base</v>
      </c>
      <c r="H8" s="186"/>
    </row>
    <row r="9" spans="1:16">
      <c r="B9" s="82"/>
      <c r="C9" s="128"/>
      <c r="D9" s="129"/>
      <c r="F9" s="161" t="s">
        <v>11</v>
      </c>
      <c r="G9" s="177" t="str">
        <f>'Decision Points'!C6</f>
        <v>Base</v>
      </c>
      <c r="H9" s="178"/>
      <c r="P9"/>
    </row>
    <row r="10" spans="1:16">
      <c r="B10" s="83" t="s">
        <v>44</v>
      </c>
      <c r="C10" s="130">
        <f>AVERAGE('Income Statement'!C14:M14)</f>
        <v>5565699.3404217139</v>
      </c>
      <c r="D10" s="130">
        <f>+'Income Statement'!N14</f>
        <v>61222692.744638853</v>
      </c>
      <c r="E10" s="155"/>
      <c r="F10" s="161" t="s">
        <v>13</v>
      </c>
      <c r="G10" s="177" t="str">
        <f>'Decision Points'!C7</f>
        <v>Base</v>
      </c>
      <c r="H10" s="178"/>
    </row>
    <row r="11" spans="1:16">
      <c r="B11" s="84" t="s">
        <v>75</v>
      </c>
      <c r="C11" s="157">
        <f>AVERAGE('Income Statement'!C15:M15)</f>
        <v>0.69368173276051626</v>
      </c>
      <c r="D11" s="131">
        <f>D10/$D$8</f>
        <v>0.69477482424938597</v>
      </c>
      <c r="F11" s="160" t="s">
        <v>14</v>
      </c>
      <c r="G11" s="177" t="str">
        <f>'Decision Points'!C8</f>
        <v>Base</v>
      </c>
      <c r="H11" s="178"/>
    </row>
    <row r="12" spans="1:16">
      <c r="B12" s="85"/>
      <c r="C12" s="128"/>
      <c r="D12" s="129"/>
      <c r="F12" s="160" t="s">
        <v>15</v>
      </c>
      <c r="G12" s="177" t="str">
        <f>'Decision Points'!C9</f>
        <v>Silver</v>
      </c>
      <c r="H12" s="178"/>
    </row>
    <row r="13" spans="1:16">
      <c r="B13" s="83" t="s">
        <v>76</v>
      </c>
      <c r="C13" s="130">
        <f>AVERAGE('Income Statement'!C25:M25)</f>
        <v>3066883.657497501</v>
      </c>
      <c r="D13" s="130">
        <f>+'Income Statement'!N25</f>
        <v>33735720.232472509</v>
      </c>
      <c r="F13" s="160" t="s">
        <v>18</v>
      </c>
      <c r="G13" s="177" t="str">
        <f>'Decision Points'!C10</f>
        <v>Base</v>
      </c>
      <c r="H13" s="178"/>
    </row>
    <row r="14" spans="1:16">
      <c r="B14" s="84" t="s">
        <v>75</v>
      </c>
      <c r="C14" s="158">
        <f>AVERAGE('Income Statement'!C26:M26)</f>
        <v>0.38427869214747562</v>
      </c>
      <c r="D14" s="131">
        <f>D13/$D$8</f>
        <v>0.38284381239495591</v>
      </c>
      <c r="F14" s="162" t="s">
        <v>21</v>
      </c>
      <c r="G14" s="187" t="str">
        <f>'Decision Points'!C11</f>
        <v>Base</v>
      </c>
      <c r="H14" s="188"/>
    </row>
    <row r="15" spans="1:16" ht="14.45" customHeight="1">
      <c r="B15" s="85"/>
      <c r="C15" s="128"/>
      <c r="D15" s="129"/>
      <c r="F15" s="189" t="s">
        <v>77</v>
      </c>
      <c r="G15" s="189"/>
      <c r="H15" s="189"/>
    </row>
    <row r="16" spans="1:16">
      <c r="B16" s="83" t="s">
        <v>54</v>
      </c>
      <c r="C16" s="130">
        <f>AVERAGE('Income Statement'!C37:M37)</f>
        <v>1792677.7899110799</v>
      </c>
      <c r="D16" s="130">
        <f>+'Income Statement'!N37</f>
        <v>19719455.689021878</v>
      </c>
      <c r="F16" s="189"/>
      <c r="G16" s="189"/>
      <c r="H16" s="189"/>
    </row>
    <row r="17" spans="2:4">
      <c r="B17" s="84" t="s">
        <v>75</v>
      </c>
      <c r="C17" s="158">
        <f>AVERAGE('Income Statement'!C38:M38)</f>
        <v>0.22184102958149435</v>
      </c>
      <c r="D17" s="131">
        <f>D16/$D$8</f>
        <v>0.22378273065804449</v>
      </c>
    </row>
    <row r="18" spans="2:4">
      <c r="B18" s="86"/>
      <c r="C18" s="86"/>
      <c r="D18" s="86"/>
    </row>
    <row r="19" spans="2:4">
      <c r="B19" s="149" t="s">
        <v>78</v>
      </c>
      <c r="C19" s="149"/>
      <c r="D19" s="86"/>
    </row>
    <row r="20" spans="2:4">
      <c r="B20" s="87" t="s">
        <v>79</v>
      </c>
      <c r="C20" s="132">
        <f>+Levers!B65</f>
        <v>7.4999999999999997E-2</v>
      </c>
      <c r="D20" s="86"/>
    </row>
    <row r="21" spans="2:4">
      <c r="B21" s="88"/>
      <c r="C21" s="89"/>
      <c r="D21" s="86"/>
    </row>
    <row r="22" spans="2:4">
      <c r="B22" s="149" t="s">
        <v>80</v>
      </c>
      <c r="C22" s="150"/>
      <c r="D22" s="86"/>
    </row>
    <row r="23" spans="2:4">
      <c r="B23" s="94" t="s">
        <v>81</v>
      </c>
      <c r="C23" s="133">
        <f>+Levers!B68</f>
        <v>0.56357600245075046</v>
      </c>
      <c r="D23" s="86"/>
    </row>
    <row r="24" spans="2:4">
      <c r="B24" s="88" t="s">
        <v>82</v>
      </c>
      <c r="C24" s="134">
        <f>+Levers!L68</f>
        <v>0.5335155277293252</v>
      </c>
      <c r="D24" s="86"/>
    </row>
    <row r="25" spans="2:4">
      <c r="B25" s="91" t="s">
        <v>83</v>
      </c>
      <c r="C25" s="135">
        <f>MAX(Levers!B68:L68)</f>
        <v>0.56357600245075046</v>
      </c>
      <c r="D25" s="86"/>
    </row>
    <row r="26" spans="2:4">
      <c r="B26" s="92" t="s">
        <v>84</v>
      </c>
      <c r="C26" s="136">
        <f>AVERAGE(Levers!B68:L68)</f>
        <v>0.54909961687173636</v>
      </c>
      <c r="D26" s="86"/>
    </row>
    <row r="27" spans="2:4">
      <c r="B27" s="86"/>
      <c r="C27" s="86"/>
      <c r="D27" s="86"/>
    </row>
    <row r="28" spans="2:4">
      <c r="B28" s="149" t="s">
        <v>85</v>
      </c>
      <c r="C28" s="150"/>
      <c r="D28" s="93"/>
    </row>
    <row r="29" spans="2:4">
      <c r="B29" s="87" t="s">
        <v>86</v>
      </c>
      <c r="C29" s="137">
        <f>'Statement of Cash Flows'!N26</f>
        <v>13213501.723517478</v>
      </c>
      <c r="D29" s="93"/>
    </row>
  </sheetData>
  <sheetProtection algorithmName="SHA-512" hashValue="2IOCix2HgcZx2GNyQ8mnlSCqSeGZr2BOcM0r3eFrxvoxbgIYi/VzAEq0AfZ5E1qKWaA/QnXwPUUGWHEhECX4kw==" saltValue="uN7uf9RtuF+Ev3E1ujVqRA==" spinCount="100000" sheet="1" selectLockedCells="1"/>
  <mergeCells count="11">
    <mergeCell ref="G11:H11"/>
    <mergeCell ref="G12:H12"/>
    <mergeCell ref="G13:H13"/>
    <mergeCell ref="G14:H14"/>
    <mergeCell ref="F15:H16"/>
    <mergeCell ref="G10:H10"/>
    <mergeCell ref="B6:D6"/>
    <mergeCell ref="F6:H6"/>
    <mergeCell ref="G7:H7"/>
    <mergeCell ref="G8:H8"/>
    <mergeCell ref="G9:H9"/>
  </mergeCells>
  <pageMargins left="0.7" right="0.7" top="0.75" bottom="0.75" header="0.3" footer="0.3"/>
  <customProperties>
    <customPr name="_pios_id" r:id="rId1"/>
  </customProperties>
  <ignoredErrors>
    <ignoredError sqref="C9:D9 C20:C29 C12:D13 D10 D8 C15:D16 D14 D17"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66D6-2208-415D-B920-5A2C412FA1F5}">
  <sheetPr codeName="Sheet7"/>
  <dimension ref="A1"/>
  <sheetViews>
    <sheetView workbookViewId="0"/>
  </sheetViews>
  <sheetFormatPr defaultRowHeight="14.45"/>
  <sheetData/>
  <pageMargins left="0.7" right="0.7" top="0.75" bottom="0.75" header="0.3" footer="0.3"/>
  <customProperties>
    <customPr name="_pios_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1C7F-57A2-4DB3-8DA4-0A82E14A0CFF}">
  <sheetPr codeName="Sheet8">
    <tabColor theme="1"/>
  </sheetPr>
  <dimension ref="A1"/>
  <sheetViews>
    <sheetView showGridLines="0" workbookViewId="0"/>
  </sheetViews>
  <sheetFormatPr defaultRowHeight="14.45"/>
  <sheetData>
    <row r="1" spans="1:1">
      <c r="A1" s="14" t="s">
        <v>87</v>
      </c>
    </row>
  </sheetData>
  <sheetProtection algorithmName="SHA-512" hashValue="zuogw8p2Lzuf3cn9xAh2vZPwpjL1C8QBRULUrYo2udBmEOmpcpgMWWc5p1SoMAqD9AayS6A1cjQiwGTVnYrbMA==" saltValue="uQHVijqY5v3azgi2cA97NA==" spinCount="100000" sheet="1" objects="1" scenarios="1" selectLockedCells="1" selectUnlockedCells="1"/>
  <pageMargins left="0.7" right="0.7" top="0.75" bottom="0.75" header="0.3" footer="0.3"/>
  <customProperties>
    <customPr name="_pios_id" r:id="rId1"/>
  </customPropertie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F9A9-C3D0-4DFF-A8C7-28666525B220}">
  <sheetPr codeName="Sheet6">
    <tabColor theme="1"/>
  </sheetPr>
  <dimension ref="A1:AT69"/>
  <sheetViews>
    <sheetView zoomScale="80" zoomScaleNormal="80" workbookViewId="0">
      <selection activeCell="D29" sqref="D29"/>
    </sheetView>
  </sheetViews>
  <sheetFormatPr defaultRowHeight="14.45"/>
  <cols>
    <col min="1" max="1" width="31.42578125" customWidth="1"/>
    <col min="2" max="2" width="20" bestFit="1" customWidth="1"/>
    <col min="3" max="3" width="14.7109375" bestFit="1" customWidth="1"/>
    <col min="4" max="4" width="62" bestFit="1" customWidth="1"/>
    <col min="5" max="12" width="14.7109375" bestFit="1" customWidth="1"/>
    <col min="13" max="13" width="11.28515625" customWidth="1"/>
    <col min="27" max="27" width="134.5703125" bestFit="1" customWidth="1"/>
    <col min="33" max="33" width="12.42578125" bestFit="1" customWidth="1"/>
    <col min="34" max="34" width="18.140625" bestFit="1" customWidth="1"/>
    <col min="35" max="35" width="28.140625" bestFit="1" customWidth="1"/>
    <col min="36" max="36" width="13.28515625" bestFit="1" customWidth="1"/>
    <col min="41" max="41" width="36.140625" bestFit="1" customWidth="1"/>
    <col min="42" max="42" width="65" bestFit="1" customWidth="1"/>
    <col min="43" max="43" width="85.28515625" bestFit="1" customWidth="1"/>
    <col min="44" max="44" width="35.140625" bestFit="1" customWidth="1"/>
    <col min="45" max="45" width="60.85546875" bestFit="1" customWidth="1"/>
    <col min="46" max="46" width="54.140625" bestFit="1" customWidth="1"/>
  </cols>
  <sheetData>
    <row r="1" spans="1:46">
      <c r="A1" s="9" t="s">
        <v>88</v>
      </c>
      <c r="B1" s="9"/>
      <c r="C1" s="8"/>
      <c r="D1" s="8"/>
      <c r="E1" s="8"/>
      <c r="F1" s="8"/>
      <c r="G1" s="8"/>
      <c r="H1" s="8"/>
      <c r="I1" s="8"/>
      <c r="J1" s="8"/>
      <c r="K1" s="8"/>
      <c r="L1" s="8"/>
    </row>
    <row r="2" spans="1:46">
      <c r="A2" s="19" t="s">
        <v>89</v>
      </c>
    </row>
    <row r="3" spans="1:46">
      <c r="A3" s="1" t="s">
        <v>10</v>
      </c>
      <c r="B3" t="s">
        <v>90</v>
      </c>
      <c r="C3" t="s">
        <v>91</v>
      </c>
      <c r="D3" t="s">
        <v>92</v>
      </c>
      <c r="E3" t="s">
        <v>93</v>
      </c>
      <c r="F3" t="s">
        <v>12</v>
      </c>
    </row>
    <row r="4" spans="1:46">
      <c r="A4" s="14" t="s">
        <v>94</v>
      </c>
      <c r="B4" t="s">
        <v>95</v>
      </c>
      <c r="C4" t="s">
        <v>96</v>
      </c>
      <c r="D4" t="s">
        <v>12</v>
      </c>
    </row>
    <row r="5" spans="1:46">
      <c r="A5" s="14" t="s">
        <v>13</v>
      </c>
      <c r="B5" t="s">
        <v>95</v>
      </c>
      <c r="C5" t="s">
        <v>96</v>
      </c>
      <c r="D5" t="s">
        <v>12</v>
      </c>
    </row>
    <row r="6" spans="1:46">
      <c r="A6" s="1" t="s">
        <v>14</v>
      </c>
      <c r="B6" t="s">
        <v>97</v>
      </c>
      <c r="C6" t="s">
        <v>98</v>
      </c>
      <c r="D6" t="s">
        <v>22</v>
      </c>
      <c r="E6" t="s">
        <v>12</v>
      </c>
    </row>
    <row r="7" spans="1:46">
      <c r="A7" s="1" t="s">
        <v>15</v>
      </c>
      <c r="B7" t="s">
        <v>99</v>
      </c>
      <c r="C7" t="s">
        <v>16</v>
      </c>
      <c r="D7" t="s">
        <v>100</v>
      </c>
      <c r="E7" t="s">
        <v>12</v>
      </c>
    </row>
    <row r="8" spans="1:46">
      <c r="A8" s="1" t="s">
        <v>18</v>
      </c>
      <c r="B8" t="s">
        <v>101</v>
      </c>
      <c r="C8" t="s">
        <v>102</v>
      </c>
      <c r="D8" t="s">
        <v>103</v>
      </c>
      <c r="E8" t="s">
        <v>12</v>
      </c>
    </row>
    <row r="9" spans="1:46">
      <c r="A9" s="1" t="s">
        <v>21</v>
      </c>
      <c r="B9" t="s">
        <v>104</v>
      </c>
      <c r="C9" t="s">
        <v>105</v>
      </c>
      <c r="D9" t="s">
        <v>12</v>
      </c>
    </row>
    <row r="11" spans="1:46">
      <c r="A11" s="9" t="s">
        <v>106</v>
      </c>
      <c r="B11" s="9"/>
      <c r="C11" s="8"/>
      <c r="D11" s="8"/>
      <c r="E11" s="8"/>
      <c r="F11" s="8"/>
      <c r="G11" s="8"/>
      <c r="H11" s="8"/>
      <c r="I11" s="8"/>
      <c r="J11" s="8"/>
      <c r="K11" s="8"/>
      <c r="L11" s="8"/>
    </row>
    <row r="12" spans="1:46">
      <c r="A12" s="18" t="s">
        <v>107</v>
      </c>
      <c r="B12" s="1" t="s">
        <v>108</v>
      </c>
      <c r="C12" s="1" t="s">
        <v>109</v>
      </c>
      <c r="D12" s="1" t="s">
        <v>110</v>
      </c>
    </row>
    <row r="13" spans="1:46">
      <c r="A13" t="s">
        <v>17</v>
      </c>
      <c r="B13" s="4">
        <v>3.0000000000000001E-3</v>
      </c>
      <c r="D13" s="7">
        <f>B13-C13</f>
        <v>3.0000000000000001E-3</v>
      </c>
    </row>
    <row r="14" spans="1:46">
      <c r="A14" t="s">
        <v>19</v>
      </c>
      <c r="B14" s="4">
        <v>5.0000000000000001E-3</v>
      </c>
      <c r="D14" s="7">
        <f t="shared" ref="D14:D15" si="0">B14-C14</f>
        <v>5.0000000000000001E-3</v>
      </c>
    </row>
    <row r="15" spans="1:46">
      <c r="A15" t="s">
        <v>22</v>
      </c>
      <c r="B15" s="4">
        <v>0.01</v>
      </c>
      <c r="D15" s="7">
        <f t="shared" si="0"/>
        <v>0.01</v>
      </c>
      <c r="AN15" s="1" t="s">
        <v>111</v>
      </c>
    </row>
    <row r="16" spans="1:46">
      <c r="B16" s="6"/>
      <c r="AO16" s="1" t="s">
        <v>112</v>
      </c>
      <c r="AP16" s="1" t="s">
        <v>113</v>
      </c>
      <c r="AQ16" s="1" t="s">
        <v>114</v>
      </c>
      <c r="AR16" s="1" t="s">
        <v>115</v>
      </c>
      <c r="AS16" s="1" t="s">
        <v>116</v>
      </c>
      <c r="AT16" s="1" t="s">
        <v>117</v>
      </c>
    </row>
    <row r="17" spans="1:46">
      <c r="A17" s="18" t="s">
        <v>118</v>
      </c>
      <c r="B17" s="16" t="s">
        <v>108</v>
      </c>
      <c r="AN17" t="s">
        <v>119</v>
      </c>
      <c r="AO17" t="s">
        <v>120</v>
      </c>
      <c r="AP17" t="s">
        <v>121</v>
      </c>
      <c r="AQ17" t="s">
        <v>122</v>
      </c>
      <c r="AR17" t="s">
        <v>123</v>
      </c>
      <c r="AS17" t="s">
        <v>124</v>
      </c>
      <c r="AT17" t="s">
        <v>125</v>
      </c>
    </row>
    <row r="18" spans="1:46">
      <c r="A18" t="s">
        <v>99</v>
      </c>
      <c r="B18" s="4">
        <v>2E-3</v>
      </c>
      <c r="AN18" t="s">
        <v>126</v>
      </c>
      <c r="AO18" t="s">
        <v>120</v>
      </c>
      <c r="AP18" t="s">
        <v>121</v>
      </c>
      <c r="AQ18" t="s">
        <v>127</v>
      </c>
      <c r="AR18" t="s">
        <v>123</v>
      </c>
      <c r="AS18" t="s">
        <v>124</v>
      </c>
      <c r="AT18" t="s">
        <v>125</v>
      </c>
    </row>
    <row r="19" spans="1:46">
      <c r="A19" t="s">
        <v>16</v>
      </c>
      <c r="B19" s="4">
        <v>6.4999999999999997E-3</v>
      </c>
      <c r="AN19" t="s">
        <v>128</v>
      </c>
      <c r="AO19" t="s">
        <v>120</v>
      </c>
      <c r="AP19" t="s">
        <v>121</v>
      </c>
      <c r="AQ19" t="s">
        <v>129</v>
      </c>
      <c r="AR19" t="s">
        <v>123</v>
      </c>
      <c r="AS19" t="s">
        <v>130</v>
      </c>
      <c r="AT19" t="s">
        <v>131</v>
      </c>
    </row>
    <row r="20" spans="1:46">
      <c r="A20" t="s">
        <v>100</v>
      </c>
      <c r="B20" s="4">
        <v>8.2500000000000004E-3</v>
      </c>
      <c r="AN20" t="s">
        <v>132</v>
      </c>
      <c r="AO20" t="s">
        <v>120</v>
      </c>
      <c r="AP20" t="s">
        <v>121</v>
      </c>
      <c r="AQ20" t="s">
        <v>129</v>
      </c>
      <c r="AR20" t="s">
        <v>123</v>
      </c>
      <c r="AS20" t="s">
        <v>133</v>
      </c>
      <c r="AT20" t="s">
        <v>134</v>
      </c>
    </row>
    <row r="21" spans="1:46">
      <c r="B21" s="5"/>
      <c r="AN21" t="s">
        <v>135</v>
      </c>
      <c r="AO21" t="s">
        <v>120</v>
      </c>
      <c r="AP21" t="s">
        <v>121</v>
      </c>
      <c r="AQ21" t="s">
        <v>129</v>
      </c>
      <c r="AR21" t="s">
        <v>123</v>
      </c>
      <c r="AS21" t="s">
        <v>136</v>
      </c>
      <c r="AT21" t="s">
        <v>137</v>
      </c>
    </row>
    <row r="22" spans="1:46">
      <c r="A22" s="18" t="s">
        <v>138</v>
      </c>
      <c r="B22" s="17"/>
    </row>
    <row r="23" spans="1:46">
      <c r="A23" t="s">
        <v>99</v>
      </c>
      <c r="B23" s="4">
        <v>1.5E-3</v>
      </c>
      <c r="D23" s="7"/>
    </row>
    <row r="24" spans="1:46">
      <c r="A24" t="s">
        <v>16</v>
      </c>
      <c r="B24" s="4">
        <v>0.02</v>
      </c>
    </row>
    <row r="25" spans="1:46">
      <c r="A25" t="s">
        <v>100</v>
      </c>
      <c r="B25" s="4">
        <v>0.03</v>
      </c>
    </row>
    <row r="27" spans="1:46">
      <c r="A27" s="23" t="s">
        <v>139</v>
      </c>
      <c r="B27" s="17"/>
      <c r="AO27" t="s">
        <v>140</v>
      </c>
    </row>
    <row r="28" spans="1:46">
      <c r="A28" s="23" t="s">
        <v>94</v>
      </c>
      <c r="B28" s="17" t="s">
        <v>141</v>
      </c>
      <c r="C28" s="24" t="s">
        <v>142</v>
      </c>
      <c r="D28" s="24" t="s">
        <v>143</v>
      </c>
      <c r="E28" s="24" t="s">
        <v>144</v>
      </c>
      <c r="AA28" s="1" t="s">
        <v>145</v>
      </c>
      <c r="AO28" s="1" t="s">
        <v>112</v>
      </c>
      <c r="AP28" s="1" t="s">
        <v>113</v>
      </c>
      <c r="AQ28" s="1" t="s">
        <v>114</v>
      </c>
      <c r="AR28" s="1" t="s">
        <v>115</v>
      </c>
      <c r="AS28" s="1" t="s">
        <v>116</v>
      </c>
      <c r="AT28" s="1" t="s">
        <v>117</v>
      </c>
    </row>
    <row r="29" spans="1:46">
      <c r="A29" t="s">
        <v>95</v>
      </c>
      <c r="B29" s="4">
        <v>0.01</v>
      </c>
      <c r="C29" s="4">
        <v>0.02</v>
      </c>
      <c r="D29" s="25">
        <v>200000</v>
      </c>
      <c r="E29" s="26">
        <f>D29/10</f>
        <v>20000</v>
      </c>
      <c r="F29" t="s">
        <v>146</v>
      </c>
      <c r="G29" t="s">
        <v>147</v>
      </c>
      <c r="AA29" t="s">
        <v>148</v>
      </c>
      <c r="AC29" t="s">
        <v>149</v>
      </c>
      <c r="AG29" s="1" t="s">
        <v>150</v>
      </c>
      <c r="AH29" s="1" t="s">
        <v>151</v>
      </c>
      <c r="AI29" s="1" t="s">
        <v>152</v>
      </c>
      <c r="AJ29" s="1" t="s">
        <v>153</v>
      </c>
      <c r="AN29" s="1" t="s">
        <v>154</v>
      </c>
      <c r="AO29" s="152" t="s">
        <v>155</v>
      </c>
      <c r="AP29" s="152" t="s">
        <v>156</v>
      </c>
      <c r="AQ29" s="152" t="s">
        <v>157</v>
      </c>
      <c r="AR29" s="152" t="s">
        <v>158</v>
      </c>
      <c r="AS29" s="152" t="s">
        <v>159</v>
      </c>
      <c r="AT29" s="152" t="s">
        <v>160</v>
      </c>
    </row>
    <row r="30" spans="1:46">
      <c r="A30" t="s">
        <v>96</v>
      </c>
      <c r="B30" s="4">
        <v>0.04</v>
      </c>
      <c r="C30" s="4">
        <v>2.5000000000000001E-2</v>
      </c>
      <c r="D30" s="4" t="s">
        <v>161</v>
      </c>
      <c r="F30" t="s">
        <v>162</v>
      </c>
      <c r="AA30" t="s">
        <v>163</v>
      </c>
      <c r="AN30" s="1"/>
      <c r="AO30" t="s">
        <v>164</v>
      </c>
      <c r="AP30" s="14" t="s">
        <v>165</v>
      </c>
      <c r="AQ30" s="14" t="s">
        <v>166</v>
      </c>
      <c r="AR30" s="14" t="s">
        <v>167</v>
      </c>
      <c r="AS30" s="14" t="s">
        <v>168</v>
      </c>
      <c r="AT30" s="14" t="s">
        <v>169</v>
      </c>
    </row>
    <row r="31" spans="1:46">
      <c r="A31" s="21" t="s">
        <v>92</v>
      </c>
      <c r="B31" s="4"/>
      <c r="C31" s="4"/>
      <c r="D31" s="4"/>
      <c r="F31" t="s">
        <v>170</v>
      </c>
      <c r="L31" t="s">
        <v>171</v>
      </c>
      <c r="W31" t="s">
        <v>172</v>
      </c>
      <c r="AG31" t="s">
        <v>173</v>
      </c>
      <c r="AH31" t="s">
        <v>174</v>
      </c>
      <c r="AI31" t="s">
        <v>175</v>
      </c>
      <c r="AJ31" t="s">
        <v>176</v>
      </c>
      <c r="AN31" s="1"/>
      <c r="AP31" s="14" t="s">
        <v>177</v>
      </c>
      <c r="AQ31" s="14" t="s">
        <v>178</v>
      </c>
      <c r="AR31" s="14"/>
      <c r="AS31" s="14" t="s">
        <v>178</v>
      </c>
      <c r="AT31" s="14" t="s">
        <v>179</v>
      </c>
    </row>
    <row r="32" spans="1:46">
      <c r="A32" s="21" t="s">
        <v>93</v>
      </c>
      <c r="B32" s="4"/>
      <c r="C32" s="4"/>
      <c r="D32" s="4"/>
      <c r="F32" t="s">
        <v>180</v>
      </c>
      <c r="H32" t="s">
        <v>181</v>
      </c>
      <c r="W32" t="s">
        <v>172</v>
      </c>
      <c r="AN32" s="1"/>
      <c r="AO32" s="1"/>
    </row>
    <row r="33" spans="1:46">
      <c r="A33" s="22"/>
      <c r="B33" s="4"/>
      <c r="C33" s="4"/>
      <c r="D33" s="4"/>
      <c r="AH33" t="s">
        <v>182</v>
      </c>
      <c r="AI33" t="s">
        <v>183</v>
      </c>
      <c r="AJ33" t="s">
        <v>176</v>
      </c>
      <c r="AN33" s="1" t="s">
        <v>126</v>
      </c>
      <c r="AO33" t="s">
        <v>120</v>
      </c>
      <c r="AP33" t="s">
        <v>121</v>
      </c>
      <c r="AQ33" t="s">
        <v>184</v>
      </c>
      <c r="AR33" t="s">
        <v>123</v>
      </c>
      <c r="AS33" t="s">
        <v>185</v>
      </c>
      <c r="AT33" t="s">
        <v>137</v>
      </c>
    </row>
    <row r="34" spans="1:46">
      <c r="A34" s="23" t="s">
        <v>186</v>
      </c>
      <c r="B34" s="4"/>
      <c r="C34" s="4"/>
      <c r="D34" s="4"/>
      <c r="AN34" s="1"/>
      <c r="AO34" s="1"/>
      <c r="AP34" s="14"/>
    </row>
    <row r="35" spans="1:46">
      <c r="A35" t="s">
        <v>95</v>
      </c>
      <c r="B35" s="4">
        <v>1.4999999999999999E-2</v>
      </c>
      <c r="C35" s="4">
        <v>0.01</v>
      </c>
      <c r="D35" s="25">
        <v>800000</v>
      </c>
      <c r="E35" s="26">
        <f>D35/10</f>
        <v>80000</v>
      </c>
      <c r="F35" t="s">
        <v>146</v>
      </c>
      <c r="AA35" t="s">
        <v>187</v>
      </c>
      <c r="AG35" t="s">
        <v>188</v>
      </c>
      <c r="AH35" t="s">
        <v>174</v>
      </c>
      <c r="AI35" t="s">
        <v>189</v>
      </c>
      <c r="AJ35" t="s">
        <v>190</v>
      </c>
      <c r="AN35" s="1" t="s">
        <v>191</v>
      </c>
      <c r="AO35" t="s">
        <v>120</v>
      </c>
      <c r="AP35" t="s">
        <v>121</v>
      </c>
      <c r="AQ35" t="s">
        <v>192</v>
      </c>
      <c r="AR35" t="s">
        <v>123</v>
      </c>
      <c r="AS35" t="s">
        <v>130</v>
      </c>
      <c r="AT35" t="s">
        <v>137</v>
      </c>
    </row>
    <row r="36" spans="1:46">
      <c r="A36" t="s">
        <v>96</v>
      </c>
      <c r="B36" s="4">
        <v>3.5000000000000003E-2</v>
      </c>
      <c r="C36" s="4">
        <v>2.5000000000000001E-2</v>
      </c>
      <c r="D36" s="4"/>
      <c r="F36" t="s">
        <v>162</v>
      </c>
      <c r="AA36" t="s">
        <v>193</v>
      </c>
      <c r="AN36" s="1"/>
      <c r="AO36" s="1"/>
    </row>
    <row r="37" spans="1:46">
      <c r="A37" s="21" t="s">
        <v>92</v>
      </c>
      <c r="B37" s="4"/>
      <c r="C37" s="4"/>
      <c r="D37" s="4"/>
      <c r="F37" t="s">
        <v>170</v>
      </c>
      <c r="AA37" s="20" t="s">
        <v>194</v>
      </c>
      <c r="AH37" t="s">
        <v>182</v>
      </c>
      <c r="AI37" t="s">
        <v>195</v>
      </c>
      <c r="AJ37" t="s">
        <v>196</v>
      </c>
      <c r="AN37" s="1" t="s">
        <v>132</v>
      </c>
      <c r="AO37" t="s">
        <v>120</v>
      </c>
      <c r="AP37" t="s">
        <v>121</v>
      </c>
      <c r="AQ37" t="s">
        <v>197</v>
      </c>
      <c r="AR37" t="s">
        <v>123</v>
      </c>
      <c r="AS37" t="s">
        <v>136</v>
      </c>
      <c r="AT37" t="s">
        <v>137</v>
      </c>
    </row>
    <row r="38" spans="1:46">
      <c r="A38" s="21" t="s">
        <v>93</v>
      </c>
      <c r="B38" s="4"/>
      <c r="C38" s="4"/>
      <c r="D38" s="4"/>
      <c r="F38" t="s">
        <v>180</v>
      </c>
      <c r="AN38" s="1"/>
      <c r="AO38" s="1"/>
    </row>
    <row r="39" spans="1:46">
      <c r="B39" s="4"/>
      <c r="AN39" s="1" t="s">
        <v>135</v>
      </c>
      <c r="AO39" t="s">
        <v>120</v>
      </c>
      <c r="AP39" t="s">
        <v>121</v>
      </c>
      <c r="AQ39" t="s">
        <v>198</v>
      </c>
      <c r="AR39" t="s">
        <v>123</v>
      </c>
      <c r="AS39" t="s">
        <v>136</v>
      </c>
      <c r="AT39" t="s">
        <v>137</v>
      </c>
    </row>
    <row r="40" spans="1:46">
      <c r="AF40" s="153"/>
    </row>
    <row r="41" spans="1:46">
      <c r="A41" s="18" t="s">
        <v>199</v>
      </c>
      <c r="B41" s="1" t="s">
        <v>200</v>
      </c>
      <c r="C41" s="24" t="s">
        <v>108</v>
      </c>
      <c r="AF41" s="153"/>
    </row>
    <row r="42" spans="1:46">
      <c r="A42" t="s">
        <v>101</v>
      </c>
      <c r="B42" s="4">
        <v>3.5000000000000003E-2</v>
      </c>
      <c r="D42" t="s">
        <v>201</v>
      </c>
      <c r="AP42" s="154" t="s">
        <v>202</v>
      </c>
      <c r="AQ42" s="154" t="s">
        <v>203</v>
      </c>
      <c r="AR42" s="154"/>
      <c r="AS42" s="154" t="s">
        <v>204</v>
      </c>
      <c r="AT42" s="154" t="s">
        <v>205</v>
      </c>
    </row>
    <row r="43" spans="1:46">
      <c r="A43" t="s">
        <v>102</v>
      </c>
      <c r="B43" s="4">
        <v>-3.5000000000000003E-2</v>
      </c>
      <c r="D43" t="s">
        <v>206</v>
      </c>
      <c r="E43" s="20" t="s">
        <v>207</v>
      </c>
      <c r="H43" t="s">
        <v>208</v>
      </c>
      <c r="K43" t="s">
        <v>209</v>
      </c>
      <c r="AO43" s="1" t="s">
        <v>112</v>
      </c>
      <c r="AP43" s="1" t="s">
        <v>113</v>
      </c>
      <c r="AQ43" s="1" t="s">
        <v>114</v>
      </c>
      <c r="AR43" s="1" t="s">
        <v>115</v>
      </c>
      <c r="AS43" s="1" t="s">
        <v>116</v>
      </c>
      <c r="AT43" s="1" t="s">
        <v>117</v>
      </c>
    </row>
    <row r="44" spans="1:46">
      <c r="A44" t="s">
        <v>103</v>
      </c>
      <c r="B44" s="4">
        <v>-2.5000000000000001E-2</v>
      </c>
      <c r="D44" t="s">
        <v>210</v>
      </c>
      <c r="E44" s="20" t="s">
        <v>211</v>
      </c>
      <c r="I44" t="s">
        <v>208</v>
      </c>
      <c r="K44" t="s">
        <v>209</v>
      </c>
      <c r="AO44" t="s">
        <v>120</v>
      </c>
      <c r="AP44" t="s">
        <v>212</v>
      </c>
      <c r="AQ44" t="s">
        <v>213</v>
      </c>
      <c r="AR44" t="s">
        <v>123</v>
      </c>
      <c r="AS44" t="s">
        <v>214</v>
      </c>
      <c r="AT44" t="s">
        <v>215</v>
      </c>
    </row>
    <row r="46" spans="1:46">
      <c r="A46" s="18" t="s">
        <v>216</v>
      </c>
      <c r="B46" s="1"/>
      <c r="I46" t="s">
        <v>217</v>
      </c>
      <c r="J46" t="s">
        <v>218</v>
      </c>
      <c r="K46" t="s">
        <v>219</v>
      </c>
      <c r="L46" t="s">
        <v>220</v>
      </c>
      <c r="M46" t="s">
        <v>221</v>
      </c>
      <c r="N46" t="s">
        <v>222</v>
      </c>
      <c r="AP46" t="s">
        <v>223</v>
      </c>
      <c r="AQ46" t="s">
        <v>224</v>
      </c>
      <c r="AS46" t="s">
        <v>225</v>
      </c>
    </row>
    <row r="47" spans="1:46">
      <c r="A47" t="s">
        <v>105</v>
      </c>
      <c r="B47" s="2">
        <v>0.06</v>
      </c>
      <c r="D47" t="s">
        <v>226</v>
      </c>
    </row>
    <row r="48" spans="1:46">
      <c r="A48" t="s">
        <v>227</v>
      </c>
      <c r="B48" s="2">
        <v>0.1</v>
      </c>
      <c r="D48" t="s">
        <v>226</v>
      </c>
    </row>
    <row r="50" spans="1:12">
      <c r="A50" s="9" t="s">
        <v>228</v>
      </c>
      <c r="B50" s="9"/>
      <c r="C50" s="8"/>
      <c r="D50" s="8"/>
      <c r="E50" s="8"/>
      <c r="F50" s="8"/>
      <c r="G50" s="8"/>
      <c r="H50" s="8"/>
      <c r="I50" s="8"/>
      <c r="J50" s="8"/>
      <c r="K50" s="8"/>
      <c r="L50" s="8"/>
    </row>
    <row r="51" spans="1:12">
      <c r="A51" s="18" t="s">
        <v>229</v>
      </c>
      <c r="B51" s="1"/>
    </row>
    <row r="52" spans="1:12">
      <c r="A52" t="s">
        <v>101</v>
      </c>
      <c r="B52" s="5">
        <v>0</v>
      </c>
    </row>
    <row r="53" spans="1:12">
      <c r="A53" t="s">
        <v>102</v>
      </c>
      <c r="B53" s="2">
        <v>7.0000000000000007E-2</v>
      </c>
    </row>
    <row r="54" spans="1:12">
      <c r="A54" t="s">
        <v>103</v>
      </c>
      <c r="B54" s="2">
        <v>0.11</v>
      </c>
    </row>
    <row r="55" spans="1:12">
      <c r="B55" s="2"/>
    </row>
    <row r="56" spans="1:12">
      <c r="A56" s="10" t="s">
        <v>230</v>
      </c>
      <c r="B56" s="11"/>
      <c r="C56" s="11"/>
      <c r="D56" s="11"/>
      <c r="E56" s="11"/>
      <c r="F56" s="11"/>
      <c r="G56" s="12"/>
      <c r="H56" s="12"/>
      <c r="I56" s="12"/>
      <c r="J56" s="12"/>
      <c r="K56" s="12"/>
      <c r="L56" s="12"/>
    </row>
    <row r="57" spans="1:12">
      <c r="A57" s="1" t="s">
        <v>231</v>
      </c>
      <c r="B57" s="13">
        <v>0.17</v>
      </c>
      <c r="C57" s="13">
        <v>0.14000000000000001</v>
      </c>
      <c r="D57" s="13">
        <v>0.14000000000000001</v>
      </c>
      <c r="E57" s="13">
        <v>0.15</v>
      </c>
      <c r="F57" s="13">
        <v>0.17</v>
      </c>
      <c r="G57" s="13">
        <v>0.16</v>
      </c>
      <c r="H57" s="13">
        <v>0.14000000000000001</v>
      </c>
      <c r="I57" s="13">
        <v>0.15</v>
      </c>
      <c r="J57" s="13">
        <v>0.14000000000000001</v>
      </c>
      <c r="K57" s="13">
        <v>0.15</v>
      </c>
      <c r="L57" s="13">
        <v>0.17</v>
      </c>
    </row>
    <row r="58" spans="1:12">
      <c r="A58" s="1" t="s">
        <v>232</v>
      </c>
      <c r="B58" s="13">
        <v>0.1</v>
      </c>
      <c r="C58" s="13">
        <v>0.1</v>
      </c>
      <c r="D58" s="13">
        <v>0.12</v>
      </c>
      <c r="E58" s="13">
        <v>0.13</v>
      </c>
      <c r="F58" s="13">
        <v>0.09</v>
      </c>
      <c r="G58" s="13">
        <v>0.1</v>
      </c>
      <c r="H58" s="13">
        <v>0.06</v>
      </c>
      <c r="I58" s="13">
        <v>0.1</v>
      </c>
      <c r="J58" s="13">
        <v>0.10000000000000002</v>
      </c>
      <c r="K58" s="13">
        <v>0.13</v>
      </c>
      <c r="L58" s="13">
        <v>0.09</v>
      </c>
    </row>
    <row r="59" spans="1:12">
      <c r="A59" s="1" t="s">
        <v>233</v>
      </c>
      <c r="B59" s="13">
        <v>-0.23</v>
      </c>
      <c r="C59" s="13">
        <v>-0.23</v>
      </c>
      <c r="D59" s="13">
        <v>-0.21</v>
      </c>
      <c r="E59" s="13">
        <v>-0.21</v>
      </c>
      <c r="F59" s="13">
        <v>-0.22</v>
      </c>
      <c r="G59" s="13">
        <v>-0.25</v>
      </c>
      <c r="H59" s="13">
        <v>-0.24</v>
      </c>
      <c r="I59" s="13">
        <v>-0.23</v>
      </c>
      <c r="J59" s="13">
        <v>-0.21</v>
      </c>
      <c r="K59" s="13">
        <v>-0.21</v>
      </c>
      <c r="L59" s="13">
        <v>-0.24</v>
      </c>
    </row>
    <row r="60" spans="1:12">
      <c r="A60" s="1" t="s">
        <v>234</v>
      </c>
      <c r="B60" s="13">
        <v>-0.28999999999999998</v>
      </c>
      <c r="C60" s="13">
        <v>-0.28999999999999998</v>
      </c>
      <c r="D60" s="13">
        <v>-0.28999999999999998</v>
      </c>
      <c r="E60" s="13">
        <v>-0.25</v>
      </c>
      <c r="F60" s="13">
        <v>-0.28000000000000003</v>
      </c>
      <c r="G60" s="13">
        <v>-0.28000000000000003</v>
      </c>
      <c r="H60" s="13">
        <v>-0.24</v>
      </c>
      <c r="I60" s="13">
        <v>-0.24</v>
      </c>
      <c r="J60" s="13">
        <v>-0.23</v>
      </c>
      <c r="K60" s="13">
        <v>-0.23</v>
      </c>
      <c r="L60" s="13">
        <v>-0.25</v>
      </c>
    </row>
    <row r="61" spans="1:12">
      <c r="A61" s="1" t="s">
        <v>235</v>
      </c>
      <c r="B61" s="13">
        <v>0.16</v>
      </c>
      <c r="C61" s="13">
        <v>0.17</v>
      </c>
      <c r="D61" s="13">
        <v>0.16</v>
      </c>
      <c r="E61" s="13">
        <v>0.15</v>
      </c>
      <c r="F61" s="13">
        <v>0.16</v>
      </c>
      <c r="G61" s="13">
        <v>0.16</v>
      </c>
      <c r="H61" s="13">
        <v>0.16</v>
      </c>
      <c r="I61" s="13">
        <v>0.15</v>
      </c>
      <c r="J61" s="13">
        <v>0.17</v>
      </c>
      <c r="K61" s="13">
        <v>0.17</v>
      </c>
      <c r="L61" s="13">
        <v>0.15</v>
      </c>
    </row>
    <row r="63" spans="1:12">
      <c r="A63" s="9" t="s">
        <v>236</v>
      </c>
      <c r="B63" s="8"/>
      <c r="C63" s="8"/>
      <c r="D63" s="8"/>
      <c r="E63" s="8"/>
      <c r="F63" s="8"/>
      <c r="G63" s="8"/>
      <c r="H63" s="8"/>
      <c r="I63" s="8"/>
      <c r="J63" s="8"/>
      <c r="K63" s="8"/>
      <c r="L63" s="8"/>
    </row>
    <row r="64" spans="1:12">
      <c r="B64">
        <v>0</v>
      </c>
      <c r="C64">
        <v>1</v>
      </c>
      <c r="D64">
        <v>2</v>
      </c>
      <c r="E64">
        <v>3</v>
      </c>
      <c r="F64">
        <v>4</v>
      </c>
      <c r="G64">
        <v>5</v>
      </c>
      <c r="H64">
        <v>6</v>
      </c>
      <c r="I64">
        <v>7</v>
      </c>
      <c r="J64">
        <v>8</v>
      </c>
      <c r="K64">
        <v>9</v>
      </c>
      <c r="L64">
        <v>10</v>
      </c>
    </row>
    <row r="65" spans="1:12">
      <c r="A65" t="s">
        <v>237</v>
      </c>
      <c r="B65" s="4">
        <v>7.4999999999999997E-2</v>
      </c>
    </row>
    <row r="66" spans="1:12">
      <c r="A66" t="s">
        <v>238</v>
      </c>
      <c r="B66" s="3">
        <v>9936548</v>
      </c>
      <c r="C66" s="3">
        <f>+B66*(1+$B$65)</f>
        <v>10681789.1</v>
      </c>
      <c r="D66" s="3">
        <f t="shared" ref="D66:L66" si="1">+C66*(1+$B$65)</f>
        <v>11482923.282499999</v>
      </c>
      <c r="E66" s="3">
        <f t="shared" si="1"/>
        <v>12344142.528687498</v>
      </c>
      <c r="F66" s="3">
        <f t="shared" si="1"/>
        <v>13269953.21833906</v>
      </c>
      <c r="G66" s="3">
        <f t="shared" si="1"/>
        <v>14265199.709714489</v>
      </c>
      <c r="H66" s="3">
        <f t="shared" si="1"/>
        <v>15335089.687943075</v>
      </c>
      <c r="I66" s="3">
        <f t="shared" si="1"/>
        <v>16485221.414538804</v>
      </c>
      <c r="J66" s="3">
        <f t="shared" si="1"/>
        <v>17721613.020629212</v>
      </c>
      <c r="K66" s="3">
        <f t="shared" si="1"/>
        <v>19050733.997176401</v>
      </c>
      <c r="L66" s="3">
        <f t="shared" si="1"/>
        <v>20479539.04696463</v>
      </c>
    </row>
    <row r="67" spans="1:12">
      <c r="A67" t="s">
        <v>239</v>
      </c>
      <c r="B67" s="3">
        <f>'Income Statement'!C7</f>
        <v>5600000</v>
      </c>
      <c r="C67" s="3">
        <f>'Income Statement'!D7</f>
        <v>5985112</v>
      </c>
      <c r="D67" s="3">
        <f>'Income Statement'!E7</f>
        <v>6402154.6041599996</v>
      </c>
      <c r="E67" s="3">
        <f>'Income Statement'!F7</f>
        <v>6836348.7294141306</v>
      </c>
      <c r="F67" s="3">
        <f>'Income Statement'!G7</f>
        <v>7319473.4941218272</v>
      </c>
      <c r="G67" s="3">
        <f>'Income Statement'!H7</f>
        <v>7810610.1655774014</v>
      </c>
      <c r="H67" s="3">
        <f>'Income Statement'!I7</f>
        <v>8364148.1080118716</v>
      </c>
      <c r="I67" s="3">
        <f>'Income Statement'!J7</f>
        <v>8961599.2073671613</v>
      </c>
      <c r="J67" s="3">
        <f>'Income Statement'!K7</f>
        <v>9632912.6039910354</v>
      </c>
      <c r="K67" s="3">
        <f>'Income Statement'!L7</f>
        <v>10280244.330979232</v>
      </c>
      <c r="L67" s="3">
        <f>'Income Statement'!M7</f>
        <v>10926152.082294656</v>
      </c>
    </row>
    <row r="68" spans="1:12">
      <c r="A68" t="s">
        <v>240</v>
      </c>
      <c r="B68" s="2">
        <f t="shared" ref="B68:L68" si="2">+B67/B66</f>
        <v>0.56357600245075046</v>
      </c>
      <c r="C68" s="2">
        <f t="shared" si="2"/>
        <v>0.56030988292026851</v>
      </c>
      <c r="D68" s="2">
        <f t="shared" si="2"/>
        <v>0.55753700052293287</v>
      </c>
      <c r="E68" s="2">
        <f t="shared" si="2"/>
        <v>0.55381317199850999</v>
      </c>
      <c r="F68" s="2">
        <f t="shared" si="2"/>
        <v>0.5515824640592043</v>
      </c>
      <c r="G68" s="2">
        <f t="shared" si="2"/>
        <v>0.54752897432332737</v>
      </c>
      <c r="H68" s="2">
        <f t="shared" si="2"/>
        <v>0.54542544440336893</v>
      </c>
      <c r="I68" s="2">
        <f t="shared" si="2"/>
        <v>0.54361412455544345</v>
      </c>
      <c r="J68" s="2">
        <f t="shared" si="2"/>
        <v>0.54356861267524814</v>
      </c>
      <c r="K68" s="2">
        <f t="shared" si="2"/>
        <v>0.53962457995072077</v>
      </c>
      <c r="L68" s="2">
        <f t="shared" si="2"/>
        <v>0.5335155277293252</v>
      </c>
    </row>
    <row r="69" spans="1:12">
      <c r="C69" s="27">
        <f>+C68-B68</f>
        <v>-3.2661195304819479E-3</v>
      </c>
      <c r="D69" s="27">
        <f t="shared" ref="D69:L69" si="3">+D68-C68</f>
        <v>-2.7728823973356409E-3</v>
      </c>
      <c r="E69" s="27">
        <f t="shared" si="3"/>
        <v>-3.7238285244228786E-3</v>
      </c>
      <c r="F69" s="27">
        <f t="shared" si="3"/>
        <v>-2.2307079393056872E-3</v>
      </c>
      <c r="G69" s="27">
        <f t="shared" si="3"/>
        <v>-4.0534897358769362E-3</v>
      </c>
      <c r="H69" s="27">
        <f t="shared" si="3"/>
        <v>-2.1035299199584356E-3</v>
      </c>
      <c r="I69" s="27">
        <f t="shared" si="3"/>
        <v>-1.8113198479254855E-3</v>
      </c>
      <c r="J69" s="27">
        <f t="shared" si="3"/>
        <v>-4.5511880195303611E-5</v>
      </c>
      <c r="K69" s="27">
        <f t="shared" si="3"/>
        <v>-3.9440327245273687E-3</v>
      </c>
      <c r="L69" s="27">
        <f t="shared" si="3"/>
        <v>-6.1090522213955722E-3</v>
      </c>
    </row>
  </sheetData>
  <sheetProtection algorithmName="SHA-512" hashValue="X/lySa1KD8KwD4YTeF8pTgxd50Siu8PUASUPqOj8eL38QavFt+N87TAz2UJw3ejyBawnVqus3Jjd7W6EjraZow==" saltValue="3kF+9TT3sLb7sb4bmpT6bg==" spinCount="100000" sheet="1" objects="1" scenarios="1" selectLockedCells="1" selectUnlockedCells="1"/>
  <pageMargins left="0.7" right="0.7" top="0.75" bottom="0.75" header="0.3" footer="0.3"/>
  <customProperties>
    <customPr name="_pios_id" r:id="rId1"/>
  </customPropertie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E065-A0F2-44FA-912C-D45D6587E1F1}">
  <sheetPr codeName="Sheet9">
    <tabColor theme="1"/>
  </sheetPr>
  <dimension ref="B4:AD23"/>
  <sheetViews>
    <sheetView topLeftCell="A4" workbookViewId="0">
      <selection activeCell="H6" sqref="H6"/>
    </sheetView>
  </sheetViews>
  <sheetFormatPr defaultRowHeight="14.45"/>
  <cols>
    <col min="2" max="2" width="31.28515625" customWidth="1"/>
    <col min="3" max="3" width="17" customWidth="1"/>
    <col min="4" max="4" width="12.42578125" customWidth="1"/>
    <col min="5" max="5" width="10" customWidth="1"/>
    <col min="7" max="7" width="22" customWidth="1"/>
  </cols>
  <sheetData>
    <row r="4" spans="2:30">
      <c r="C4" t="s">
        <v>241</v>
      </c>
      <c r="D4" t="s">
        <v>241</v>
      </c>
      <c r="H4" s="190" t="s">
        <v>200</v>
      </c>
      <c r="I4" s="190"/>
      <c r="J4" s="190"/>
      <c r="K4" s="190"/>
      <c r="L4" s="190"/>
      <c r="M4" s="190"/>
      <c r="N4" s="190"/>
      <c r="O4" s="190"/>
      <c r="P4" s="190"/>
      <c r="Q4" s="190"/>
      <c r="U4" s="190" t="s">
        <v>242</v>
      </c>
      <c r="V4" s="190"/>
      <c r="W4" s="190"/>
      <c r="X4" s="190"/>
      <c r="Y4" s="190"/>
      <c r="Z4" s="190"/>
      <c r="AA4" s="190"/>
      <c r="AB4" s="190"/>
      <c r="AC4" s="190"/>
      <c r="AD4" s="190"/>
    </row>
    <row r="5" spans="2:30">
      <c r="B5" s="18" t="s">
        <v>243</v>
      </c>
      <c r="C5" s="1" t="s">
        <v>200</v>
      </c>
      <c r="D5" s="24" t="s">
        <v>108</v>
      </c>
      <c r="G5" t="s">
        <v>244</v>
      </c>
      <c r="H5">
        <v>1</v>
      </c>
      <c r="I5">
        <v>2</v>
      </c>
      <c r="J5">
        <v>3</v>
      </c>
      <c r="K5">
        <v>4</v>
      </c>
      <c r="L5">
        <v>5</v>
      </c>
      <c r="M5">
        <v>6</v>
      </c>
      <c r="N5">
        <v>7</v>
      </c>
      <c r="O5">
        <v>8</v>
      </c>
      <c r="P5">
        <v>9</v>
      </c>
      <c r="Q5">
        <v>10</v>
      </c>
      <c r="U5">
        <v>1</v>
      </c>
      <c r="V5">
        <v>2</v>
      </c>
      <c r="W5">
        <v>3</v>
      </c>
      <c r="X5">
        <v>4</v>
      </c>
      <c r="Y5">
        <v>5</v>
      </c>
      <c r="Z5">
        <v>6</v>
      </c>
      <c r="AA5">
        <v>7</v>
      </c>
      <c r="AB5">
        <v>8</v>
      </c>
      <c r="AC5">
        <v>9</v>
      </c>
      <c r="AD5">
        <v>10</v>
      </c>
    </row>
    <row r="6" spans="2:30">
      <c r="B6" t="s">
        <v>101</v>
      </c>
      <c r="C6" s="4">
        <v>3.5000000000000003E-2</v>
      </c>
      <c r="D6" s="28">
        <v>3.5000000000000003E-2</v>
      </c>
      <c r="E6" s="27"/>
      <c r="G6" t="s">
        <v>101</v>
      </c>
      <c r="H6" s="28">
        <v>5.1999999999999998E-2</v>
      </c>
      <c r="I6" s="28">
        <v>5.1999999999999998E-2</v>
      </c>
      <c r="J6" s="28">
        <v>5.1999999999999998E-2</v>
      </c>
      <c r="K6" s="28">
        <v>5.1999999999999998E-2</v>
      </c>
      <c r="L6" s="28">
        <v>5.1999999999999998E-2</v>
      </c>
      <c r="M6" s="28">
        <v>5.1999999999999998E-2</v>
      </c>
      <c r="N6" s="28">
        <v>5.1999999999999998E-2</v>
      </c>
      <c r="O6" s="28">
        <v>5.1999999999999998E-2</v>
      </c>
      <c r="P6" s="28">
        <v>5.1999999999999998E-2</v>
      </c>
      <c r="Q6" s="28">
        <v>5.1999999999999998E-2</v>
      </c>
      <c r="U6" s="28">
        <v>3.5000000000000003E-2</v>
      </c>
      <c r="V6" s="28">
        <v>3.5000000000000003E-2</v>
      </c>
      <c r="W6" s="28">
        <v>3.5000000000000003E-2</v>
      </c>
      <c r="X6" s="28">
        <v>3.5000000000000003E-2</v>
      </c>
      <c r="Y6" s="28">
        <v>3.5000000000000003E-2</v>
      </c>
      <c r="Z6" s="28">
        <v>3.5000000000000003E-2</v>
      </c>
      <c r="AA6" s="28">
        <v>3.5000000000000003E-2</v>
      </c>
      <c r="AB6" s="28">
        <v>3.5000000000000003E-2</v>
      </c>
      <c r="AC6" s="28">
        <v>3.5000000000000003E-2</v>
      </c>
      <c r="AD6" s="28">
        <v>3.5000000000000003E-2</v>
      </c>
    </row>
    <row r="7" spans="2:30">
      <c r="B7" t="s">
        <v>102</v>
      </c>
      <c r="C7" s="4">
        <v>-2.5000000000000001E-2</v>
      </c>
      <c r="D7" s="28">
        <v>0.03</v>
      </c>
      <c r="E7" s="27"/>
      <c r="G7" t="s">
        <v>102</v>
      </c>
      <c r="H7" s="29">
        <f>$C$7*70%</f>
        <v>-1.7499999999999998E-2</v>
      </c>
      <c r="I7" s="29">
        <f>$C$7*100%</f>
        <v>-2.5000000000000001E-2</v>
      </c>
      <c r="J7" s="29">
        <f t="shared" ref="J7:Q7" si="0">$C$7*100%</f>
        <v>-2.5000000000000001E-2</v>
      </c>
      <c r="K7" s="29">
        <f t="shared" si="0"/>
        <v>-2.5000000000000001E-2</v>
      </c>
      <c r="L7" s="29">
        <f t="shared" si="0"/>
        <v>-2.5000000000000001E-2</v>
      </c>
      <c r="M7" s="29">
        <f t="shared" si="0"/>
        <v>-2.5000000000000001E-2</v>
      </c>
      <c r="N7" s="29">
        <f t="shared" si="0"/>
        <v>-2.5000000000000001E-2</v>
      </c>
      <c r="O7" s="29">
        <f t="shared" si="0"/>
        <v>-2.5000000000000001E-2</v>
      </c>
      <c r="P7" s="29">
        <f t="shared" si="0"/>
        <v>-2.5000000000000001E-2</v>
      </c>
      <c r="Q7" s="29">
        <f t="shared" si="0"/>
        <v>-2.5000000000000001E-2</v>
      </c>
      <c r="S7" s="30">
        <v>70100</v>
      </c>
      <c r="U7" s="29">
        <f>$D$7*70%</f>
        <v>2.0999999999999998E-2</v>
      </c>
      <c r="V7" s="29">
        <f>$D$7*100%</f>
        <v>0.03</v>
      </c>
      <c r="W7" s="29">
        <f t="shared" ref="W7:AD7" si="1">$D$7*100%</f>
        <v>0.03</v>
      </c>
      <c r="X7" s="29">
        <f t="shared" si="1"/>
        <v>0.03</v>
      </c>
      <c r="Y7" s="29">
        <f t="shared" si="1"/>
        <v>0.03</v>
      </c>
      <c r="Z7" s="29">
        <f t="shared" si="1"/>
        <v>0.03</v>
      </c>
      <c r="AA7" s="29">
        <f t="shared" si="1"/>
        <v>0.03</v>
      </c>
      <c r="AB7" s="29">
        <f t="shared" si="1"/>
        <v>0.03</v>
      </c>
      <c r="AC7" s="29">
        <f t="shared" si="1"/>
        <v>0.03</v>
      </c>
      <c r="AD7" s="29">
        <f t="shared" si="1"/>
        <v>0.03</v>
      </c>
    </row>
    <row r="8" spans="2:30">
      <c r="B8" t="s">
        <v>103</v>
      </c>
      <c r="C8" s="4">
        <v>-3.5000000000000003E-2</v>
      </c>
      <c r="D8" s="28">
        <v>0.06</v>
      </c>
      <c r="E8" s="27"/>
      <c r="G8" t="s">
        <v>103</v>
      </c>
      <c r="H8" s="29">
        <f>$C$8*60%</f>
        <v>-2.1000000000000001E-2</v>
      </c>
      <c r="I8" s="29">
        <f>$C$8*80%</f>
        <v>-2.8000000000000004E-2</v>
      </c>
      <c r="J8" s="29">
        <f>$C$8*100%</f>
        <v>-3.5000000000000003E-2</v>
      </c>
      <c r="K8" s="29">
        <f t="shared" ref="K8:Q8" si="2">$C$8*100%</f>
        <v>-3.5000000000000003E-2</v>
      </c>
      <c r="L8" s="29">
        <f t="shared" si="2"/>
        <v>-3.5000000000000003E-2</v>
      </c>
      <c r="M8" s="29">
        <f t="shared" si="2"/>
        <v>-3.5000000000000003E-2</v>
      </c>
      <c r="N8" s="29">
        <f t="shared" si="2"/>
        <v>-3.5000000000000003E-2</v>
      </c>
      <c r="O8" s="29">
        <f t="shared" si="2"/>
        <v>-3.5000000000000003E-2</v>
      </c>
      <c r="P8" s="29">
        <f t="shared" si="2"/>
        <v>-3.5000000000000003E-2</v>
      </c>
      <c r="Q8" s="29">
        <f t="shared" si="2"/>
        <v>-3.5000000000000003E-2</v>
      </c>
      <c r="S8" t="s">
        <v>245</v>
      </c>
      <c r="U8" s="29">
        <f>$D$8*60%</f>
        <v>3.5999999999999997E-2</v>
      </c>
      <c r="V8" s="29">
        <f>$D$8*80%</f>
        <v>4.8000000000000001E-2</v>
      </c>
      <c r="W8" s="29">
        <v>0.06</v>
      </c>
      <c r="X8" s="29">
        <v>0.06</v>
      </c>
      <c r="Y8" s="29">
        <v>0.06</v>
      </c>
      <c r="Z8" s="29">
        <v>0.06</v>
      </c>
      <c r="AA8" s="29">
        <v>0.06</v>
      </c>
      <c r="AB8" s="29">
        <v>0.06</v>
      </c>
      <c r="AC8" s="29">
        <v>0.06</v>
      </c>
      <c r="AD8" s="29">
        <v>0.06</v>
      </c>
    </row>
    <row r="10" spans="2:30">
      <c r="B10" s="18" t="s">
        <v>216</v>
      </c>
      <c r="C10" s="1" t="s">
        <v>241</v>
      </c>
      <c r="D10" t="s">
        <v>246</v>
      </c>
      <c r="E10" t="s">
        <v>247</v>
      </c>
      <c r="H10">
        <v>1</v>
      </c>
      <c r="I10">
        <v>2</v>
      </c>
      <c r="J10">
        <v>3</v>
      </c>
      <c r="K10">
        <v>4</v>
      </c>
      <c r="L10">
        <v>5</v>
      </c>
      <c r="M10">
        <v>6</v>
      </c>
      <c r="N10">
        <v>7</v>
      </c>
      <c r="O10">
        <v>8</v>
      </c>
      <c r="P10">
        <v>9</v>
      </c>
      <c r="Q10">
        <v>10</v>
      </c>
    </row>
    <row r="11" spans="2:30">
      <c r="B11" t="s">
        <v>105</v>
      </c>
      <c r="C11" s="2">
        <v>0.06</v>
      </c>
      <c r="E11" s="27">
        <v>0</v>
      </c>
      <c r="H11" s="27">
        <v>0.04</v>
      </c>
      <c r="I11" s="27">
        <v>0.06</v>
      </c>
      <c r="J11" s="27">
        <v>0.06</v>
      </c>
      <c r="K11" s="27">
        <v>0.06</v>
      </c>
      <c r="L11" s="27">
        <v>0.06</v>
      </c>
      <c r="M11" s="27">
        <v>0.06</v>
      </c>
      <c r="N11" s="27">
        <v>0.06</v>
      </c>
      <c r="O11" s="27">
        <v>0.06</v>
      </c>
      <c r="P11" s="27">
        <v>0.06</v>
      </c>
      <c r="Q11" s="27">
        <v>0.06</v>
      </c>
      <c r="S11" t="s">
        <v>248</v>
      </c>
    </row>
    <row r="12" spans="2:30">
      <c r="B12" t="s">
        <v>227</v>
      </c>
      <c r="C12" s="2">
        <v>0.1</v>
      </c>
      <c r="E12" s="27">
        <v>0.01</v>
      </c>
      <c r="H12" s="27">
        <v>7.0000000000000007E-2</v>
      </c>
      <c r="I12" s="27">
        <v>0.1</v>
      </c>
      <c r="J12" s="27">
        <v>0.1</v>
      </c>
      <c r="K12" s="27">
        <v>0.1</v>
      </c>
      <c r="L12" s="27">
        <v>0.1</v>
      </c>
      <c r="M12" s="27">
        <v>0.1</v>
      </c>
      <c r="N12" s="27">
        <v>0.1</v>
      </c>
      <c r="O12" s="27">
        <v>0.09</v>
      </c>
      <c r="P12" s="27">
        <v>0.08</v>
      </c>
      <c r="Q12" s="27">
        <v>0.08</v>
      </c>
      <c r="S12" t="s">
        <v>249</v>
      </c>
    </row>
    <row r="13" spans="2:30">
      <c r="E13" s="27">
        <v>0.02</v>
      </c>
    </row>
    <row r="14" spans="2:30">
      <c r="B14" s="18" t="s">
        <v>229</v>
      </c>
      <c r="C14" s="1"/>
      <c r="H14">
        <v>1</v>
      </c>
      <c r="I14">
        <v>2</v>
      </c>
      <c r="J14">
        <v>3</v>
      </c>
      <c r="K14">
        <v>4</v>
      </c>
      <c r="L14">
        <v>5</v>
      </c>
      <c r="M14">
        <v>6</v>
      </c>
      <c r="N14">
        <v>7</v>
      </c>
      <c r="O14">
        <v>8</v>
      </c>
      <c r="P14">
        <v>9</v>
      </c>
      <c r="Q14">
        <v>10</v>
      </c>
    </row>
    <row r="15" spans="2:30">
      <c r="B15" t="s">
        <v>101</v>
      </c>
      <c r="C15" s="5">
        <v>0</v>
      </c>
      <c r="H15" s="27">
        <v>0</v>
      </c>
      <c r="I15" s="27">
        <v>0</v>
      </c>
      <c r="J15" s="27">
        <v>0</v>
      </c>
      <c r="K15" s="27">
        <v>0</v>
      </c>
      <c r="L15" s="27">
        <v>0</v>
      </c>
      <c r="M15" s="27">
        <v>0</v>
      </c>
      <c r="N15" s="27">
        <v>0</v>
      </c>
      <c r="O15" s="27">
        <v>0</v>
      </c>
      <c r="P15" s="27">
        <v>0</v>
      </c>
      <c r="Q15" s="27">
        <v>0</v>
      </c>
    </row>
    <row r="16" spans="2:30">
      <c r="B16" t="s">
        <v>102</v>
      </c>
      <c r="C16" s="2">
        <v>0.25</v>
      </c>
      <c r="H16" s="29">
        <f>$C$16*100%</f>
        <v>0.25</v>
      </c>
      <c r="I16" s="29">
        <f>$C$16*100%</f>
        <v>0.25</v>
      </c>
      <c r="J16" s="29">
        <v>0</v>
      </c>
      <c r="K16" s="29">
        <v>0</v>
      </c>
      <c r="L16" s="29">
        <v>0</v>
      </c>
      <c r="M16" s="29">
        <v>0</v>
      </c>
      <c r="N16" s="29">
        <v>0</v>
      </c>
      <c r="O16" s="29">
        <v>0</v>
      </c>
      <c r="P16" s="29">
        <v>0</v>
      </c>
      <c r="Q16" s="29">
        <v>0</v>
      </c>
    </row>
    <row r="17" spans="2:19">
      <c r="B17" t="s">
        <v>103</v>
      </c>
      <c r="C17" s="2">
        <v>0.35</v>
      </c>
      <c r="H17" s="29">
        <f t="shared" ref="H17:I17" si="3">$C$17*100%</f>
        <v>0.35</v>
      </c>
      <c r="I17" s="29">
        <f t="shared" si="3"/>
        <v>0.35</v>
      </c>
      <c r="J17" s="29">
        <f>$C$17*100%</f>
        <v>0.35</v>
      </c>
      <c r="K17" s="29">
        <v>0</v>
      </c>
      <c r="L17" s="29">
        <v>0</v>
      </c>
      <c r="M17" s="29">
        <v>0</v>
      </c>
      <c r="N17" s="29">
        <v>0</v>
      </c>
      <c r="O17" s="29">
        <v>0</v>
      </c>
      <c r="P17" s="29">
        <v>0</v>
      </c>
      <c r="Q17" s="29">
        <v>0</v>
      </c>
    </row>
    <row r="20" spans="2:19">
      <c r="B20" t="s">
        <v>250</v>
      </c>
      <c r="H20">
        <v>1</v>
      </c>
      <c r="I20">
        <v>2</v>
      </c>
      <c r="J20">
        <v>3</v>
      </c>
      <c r="K20">
        <v>4</v>
      </c>
      <c r="L20">
        <v>5</v>
      </c>
      <c r="M20">
        <v>6</v>
      </c>
      <c r="N20">
        <v>7</v>
      </c>
      <c r="O20">
        <v>8</v>
      </c>
      <c r="P20">
        <v>9</v>
      </c>
      <c r="Q20">
        <v>10</v>
      </c>
    </row>
    <row r="21" spans="2:19">
      <c r="B21" t="s">
        <v>101</v>
      </c>
      <c r="H21" s="151">
        <v>0</v>
      </c>
      <c r="I21" s="151">
        <v>0</v>
      </c>
      <c r="J21" s="151">
        <v>0</v>
      </c>
      <c r="K21" s="151">
        <v>0</v>
      </c>
      <c r="L21" s="151">
        <v>0</v>
      </c>
      <c r="M21" s="151">
        <v>0</v>
      </c>
      <c r="N21" s="151">
        <v>0</v>
      </c>
      <c r="O21" s="151">
        <v>0</v>
      </c>
      <c r="P21" s="151">
        <v>0</v>
      </c>
      <c r="Q21" s="151">
        <v>0</v>
      </c>
      <c r="R21" s="151"/>
    </row>
    <row r="22" spans="2:19">
      <c r="B22" t="s">
        <v>102</v>
      </c>
      <c r="H22" s="151">
        <v>2.5000000000000001E-3</v>
      </c>
      <c r="I22" s="151">
        <v>5.0000000000000001E-3</v>
      </c>
      <c r="J22" s="151">
        <v>5.0000000000000001E-3</v>
      </c>
      <c r="K22" s="151">
        <v>5.0000000000000001E-3</v>
      </c>
      <c r="L22" s="151">
        <v>5.0000000000000001E-3</v>
      </c>
      <c r="M22" s="151">
        <v>5.0000000000000001E-3</v>
      </c>
      <c r="N22" s="151">
        <v>5.0000000000000001E-3</v>
      </c>
      <c r="O22" s="151">
        <v>5.0000000000000001E-3</v>
      </c>
      <c r="P22" s="151">
        <v>5.0000000000000001E-3</v>
      </c>
      <c r="Q22" s="151">
        <v>5.0000000000000001E-3</v>
      </c>
      <c r="S22" s="30">
        <v>70100</v>
      </c>
    </row>
    <row r="23" spans="2:19">
      <c r="B23" t="s">
        <v>103</v>
      </c>
      <c r="H23" s="29">
        <v>3.0000000000000001E-3</v>
      </c>
      <c r="I23" s="29">
        <v>7.0000000000000001E-3</v>
      </c>
      <c r="J23" s="29">
        <v>0.01</v>
      </c>
      <c r="K23" s="29">
        <v>0.01</v>
      </c>
      <c r="L23" s="29">
        <v>0.01</v>
      </c>
      <c r="M23" s="29">
        <v>0.01</v>
      </c>
      <c r="N23" s="29">
        <v>0.01</v>
      </c>
      <c r="O23" s="29">
        <v>0.01</v>
      </c>
      <c r="P23" s="29">
        <v>0.01</v>
      </c>
      <c r="Q23" s="29">
        <v>0.01</v>
      </c>
      <c r="S23" t="s">
        <v>245</v>
      </c>
    </row>
  </sheetData>
  <sheetProtection algorithmName="SHA-512" hashValue="LDv85E3ycUvcRjff9IO1GEKfklYZLhQcfRdZAzZMAA+p+hZ9vhW7nFzjf+1yLjO5m1bHEEZOw8/OIDWDFYjMiw==" saltValue="WH6g3+Hqi2NWu8PN0X6BAA==" spinCount="100000" sheet="1" objects="1" scenarios="1" selectLockedCells="1" selectUnlockedCells="1"/>
  <mergeCells count="2">
    <mergeCell ref="H4:Q4"/>
    <mergeCell ref="U4:AD4"/>
  </mergeCells>
  <pageMargins left="0.7" right="0.7" top="0.75" bottom="0.75" header="0.3" footer="0.3"/>
  <customProperties>
    <customPr name="_pios_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D53A-C15D-42D1-B722-382239F4542D}">
  <sheetPr codeName="Sheet10">
    <tabColor theme="1"/>
  </sheetPr>
  <dimension ref="A1:D26"/>
  <sheetViews>
    <sheetView workbookViewId="0"/>
  </sheetViews>
  <sheetFormatPr defaultRowHeight="14.45"/>
  <cols>
    <col min="2" max="2" width="138.42578125" customWidth="1"/>
    <col min="3" max="3" width="1.28515625" customWidth="1"/>
    <col min="4" max="4" width="99.140625" customWidth="1"/>
  </cols>
  <sheetData>
    <row r="1" spans="1:4">
      <c r="B1" s="24" t="s">
        <v>251</v>
      </c>
      <c r="C1" s="24"/>
      <c r="D1" s="24" t="s">
        <v>252</v>
      </c>
    </row>
    <row r="2" spans="1:4">
      <c r="A2" s="31" t="s">
        <v>253</v>
      </c>
    </row>
    <row r="3" spans="1:4">
      <c r="A3" s="32" t="s">
        <v>254</v>
      </c>
    </row>
    <row r="4" spans="1:4">
      <c r="A4" s="33" t="s">
        <v>255</v>
      </c>
    </row>
    <row r="5" spans="1:4" ht="28.9">
      <c r="B5" s="34" t="s">
        <v>256</v>
      </c>
      <c r="C5" s="34"/>
      <c r="D5" s="35" t="s">
        <v>257</v>
      </c>
    </row>
    <row r="6" spans="1:4" ht="28.9">
      <c r="B6" s="36" t="s">
        <v>258</v>
      </c>
      <c r="C6" s="36"/>
      <c r="D6" s="38" t="s">
        <v>259</v>
      </c>
    </row>
    <row r="7" spans="1:4" ht="57.6">
      <c r="B7" s="34" t="s">
        <v>260</v>
      </c>
      <c r="C7" s="34"/>
      <c r="D7" s="35" t="s">
        <v>261</v>
      </c>
    </row>
    <row r="8" spans="1:4">
      <c r="B8" s="39" t="s">
        <v>262</v>
      </c>
      <c r="C8" s="34"/>
      <c r="D8" s="35" t="s">
        <v>263</v>
      </c>
    </row>
    <row r="9" spans="1:4" ht="28.9">
      <c r="B9" s="34" t="s">
        <v>264</v>
      </c>
      <c r="C9" s="34"/>
      <c r="D9" s="35" t="s">
        <v>265</v>
      </c>
    </row>
    <row r="10" spans="1:4">
      <c r="B10" s="34" t="s">
        <v>266</v>
      </c>
      <c r="C10" s="34"/>
      <c r="D10" s="35" t="s">
        <v>267</v>
      </c>
    </row>
    <row r="11" spans="1:4">
      <c r="B11" s="34" t="s">
        <v>268</v>
      </c>
      <c r="C11" s="34"/>
      <c r="D11" s="37"/>
    </row>
    <row r="12" spans="1:4">
      <c r="B12" s="34" t="s">
        <v>269</v>
      </c>
      <c r="C12" s="34"/>
      <c r="D12" s="35" t="s">
        <v>270</v>
      </c>
    </row>
    <row r="13" spans="1:4">
      <c r="A13" s="33" t="s">
        <v>271</v>
      </c>
      <c r="B13" s="35"/>
      <c r="C13" s="35"/>
      <c r="D13" s="35"/>
    </row>
    <row r="14" spans="1:4" ht="28.9">
      <c r="B14" s="34" t="s">
        <v>272</v>
      </c>
      <c r="C14" s="34"/>
      <c r="D14" s="35" t="s">
        <v>273</v>
      </c>
    </row>
    <row r="15" spans="1:4" ht="65.25" customHeight="1">
      <c r="B15" s="34" t="s">
        <v>274</v>
      </c>
      <c r="C15" s="34"/>
      <c r="D15" s="35" t="s">
        <v>275</v>
      </c>
    </row>
    <row r="16" spans="1:4">
      <c r="A16" s="33" t="s">
        <v>276</v>
      </c>
      <c r="B16" s="35"/>
      <c r="C16" s="35"/>
      <c r="D16" s="35"/>
    </row>
    <row r="17" spans="1:4" ht="28.9">
      <c r="B17" s="34" t="s">
        <v>277</v>
      </c>
      <c r="C17" s="34"/>
      <c r="D17" s="35" t="s">
        <v>278</v>
      </c>
    </row>
    <row r="18" spans="1:4">
      <c r="A18" s="33" t="s">
        <v>279</v>
      </c>
      <c r="B18" s="35"/>
      <c r="C18" s="35"/>
      <c r="D18" s="35"/>
    </row>
    <row r="19" spans="1:4">
      <c r="B19" s="34" t="s">
        <v>280</v>
      </c>
      <c r="C19" s="34"/>
      <c r="D19" s="35"/>
    </row>
    <row r="20" spans="1:4" ht="57.6">
      <c r="B20" s="34" t="s">
        <v>281</v>
      </c>
      <c r="C20" s="34"/>
      <c r="D20" s="35"/>
    </row>
    <row r="21" spans="1:4">
      <c r="A21" s="33" t="s">
        <v>282</v>
      </c>
      <c r="B21" s="35"/>
      <c r="C21" s="35"/>
      <c r="D21" s="35"/>
    </row>
    <row r="22" spans="1:4">
      <c r="B22" s="34" t="s">
        <v>283</v>
      </c>
      <c r="C22" s="34"/>
      <c r="D22" s="35"/>
    </row>
    <row r="24" spans="1:4">
      <c r="B24" t="s">
        <v>284</v>
      </c>
    </row>
    <row r="26" spans="1:4">
      <c r="B26" t="s">
        <v>285</v>
      </c>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FEDB6F1871C34393351C33E6564830" ma:contentTypeVersion="8" ma:contentTypeDescription="Create a new document." ma:contentTypeScope="" ma:versionID="1bb6eea19c1a8c9d4cf9f66863de6067">
  <xsd:schema xmlns:xsd="http://www.w3.org/2001/XMLSchema" xmlns:xs="http://www.w3.org/2001/XMLSchema" xmlns:p="http://schemas.microsoft.com/office/2006/metadata/properties" xmlns:ns2="09b2b183-866a-4944-a48a-0546c6b014e8" xmlns:ns3="772c8f22-b7d5-4c2f-9a20-1b07982cbfbe" targetNamespace="http://schemas.microsoft.com/office/2006/metadata/properties" ma:root="true" ma:fieldsID="a8c2ab543b7443c11decb9b2df8ce46d" ns2:_="" ns3:_="">
    <xsd:import namespace="09b2b183-866a-4944-a48a-0546c6b014e8"/>
    <xsd:import namespace="772c8f22-b7d5-4c2f-9a20-1b07982cbfb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b2b183-866a-4944-a48a-0546c6b014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2c8f22-b7d5-4c2f-9a20-1b07982cbfb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8D1FF3-A1FE-41B1-8769-3E31063DAD5B}"/>
</file>

<file path=customXml/itemProps2.xml><?xml version="1.0" encoding="utf-8"?>
<ds:datastoreItem xmlns:ds="http://schemas.openxmlformats.org/officeDocument/2006/customXml" ds:itemID="{1ABDEAD6-ABB3-4E48-A70F-2C2DCD890487}"/>
</file>

<file path=customXml/itemProps3.xml><?xml version="1.0" encoding="utf-8"?>
<ds:datastoreItem xmlns:ds="http://schemas.openxmlformats.org/officeDocument/2006/customXml" ds:itemID="{B4E8ED95-C4A2-4B4E-8E35-3D7D261AF38E}"/>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Petersen, Sean [JJCUS]</cp:lastModifiedBy>
  <cp:revision/>
  <dcterms:created xsi:type="dcterms:W3CDTF">2025-07-07T18:30:58Z</dcterms:created>
  <dcterms:modified xsi:type="dcterms:W3CDTF">2026-01-30T22:25:38Z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0x01010041FEDB6F1871C34393351C33E6564830</vt:lpwstr>
  </property>
</Properties>
</file>