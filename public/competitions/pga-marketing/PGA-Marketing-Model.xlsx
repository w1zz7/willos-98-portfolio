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0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1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2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zzh/Downloads/"/>
    </mc:Choice>
  </mc:AlternateContent>
  <xr:revisionPtr revIDLastSave="0" documentId="8_{44D14E19-04E0-5842-80A5-256FA96C0DBA}" xr6:coauthVersionLast="47" xr6:coauthVersionMax="47" xr10:uidLastSave="{00000000-0000-0000-0000-000000000000}"/>
  <bookViews>
    <workbookView xWindow="720" yWindow="1000" windowWidth="32900" windowHeight="20540" firstSheet="4" xr2:uid="{900FD670-A6C3-3449-832F-CC972E963E3F}"/>
  </bookViews>
  <sheets>
    <sheet name="Cover &amp; Summary" sheetId="1" r:id="rId1"/>
    <sheet name="Assumptions" sheetId="2" r:id="rId2"/>
    <sheet name="Revenue Build" sheetId="3" r:id="rId3"/>
    <sheet name="Cost Build" sheetId="4" r:id="rId4"/>
    <sheet name="Margin Analysis" sheetId="5" r:id="rId5"/>
    <sheet name="10-Yr Projection" sheetId="6" r:id="rId6"/>
    <sheet name="Unit Economics" sheetId="7" r:id="rId7"/>
    <sheet name="DCF Valuation" sheetId="8" r:id="rId8"/>
    <sheet name="LBO Analysis" sheetId="9" r:id="rId9"/>
    <sheet name="Scenario Analysis" sheetId="10" r:id="rId10"/>
    <sheet name="Sensitivity Tables" sheetId="11" r:id="rId11"/>
    <sheet name="Risk Framework" sheetId="12" r:id="rId12"/>
    <sheet name="KPI Dashboard" sheetId="13" r:id="rId13"/>
    <sheet name="Chart Data" sheetId="14" state="hidden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1" i="13" l="1"/>
  <c r="D140" i="13"/>
  <c r="C140" i="13"/>
  <c r="D139" i="13"/>
  <c r="D138" i="13"/>
  <c r="D137" i="13"/>
  <c r="D136" i="13"/>
  <c r="D135" i="13"/>
  <c r="D134" i="13"/>
  <c r="D133" i="13"/>
  <c r="D132" i="13"/>
  <c r="D131" i="13"/>
  <c r="D130" i="13"/>
  <c r="H24" i="14"/>
  <c r="H23" i="14"/>
  <c r="H22" i="14"/>
  <c r="H21" i="14"/>
  <c r="K143" i="14"/>
  <c r="K142" i="14"/>
  <c r="J143" i="14"/>
  <c r="J142" i="14"/>
  <c r="I143" i="14"/>
  <c r="I142" i="14"/>
  <c r="H143" i="14"/>
  <c r="H142" i="14"/>
  <c r="G143" i="14"/>
  <c r="G142" i="14"/>
  <c r="F143" i="14"/>
  <c r="F142" i="14"/>
  <c r="E143" i="14"/>
  <c r="E142" i="14"/>
  <c r="D143" i="14"/>
  <c r="D142" i="14"/>
  <c r="C143" i="14"/>
  <c r="C142" i="14"/>
  <c r="B143" i="14"/>
  <c r="B142" i="14"/>
  <c r="K139" i="14"/>
  <c r="K138" i="14"/>
  <c r="K137" i="14"/>
  <c r="J139" i="14"/>
  <c r="J138" i="14"/>
  <c r="J137" i="14"/>
  <c r="I139" i="14"/>
  <c r="I138" i="14"/>
  <c r="I137" i="14"/>
  <c r="H139" i="14"/>
  <c r="H138" i="14"/>
  <c r="H137" i="14"/>
  <c r="G139" i="14"/>
  <c r="G138" i="14"/>
  <c r="G137" i="14"/>
  <c r="F139" i="14"/>
  <c r="F138" i="14"/>
  <c r="F137" i="14"/>
  <c r="E139" i="14"/>
  <c r="E138" i="14"/>
  <c r="E137" i="14"/>
  <c r="D139" i="14"/>
  <c r="D138" i="14"/>
  <c r="D137" i="14"/>
  <c r="C139" i="14"/>
  <c r="C138" i="14"/>
  <c r="C137" i="14"/>
  <c r="B139" i="14"/>
  <c r="B138" i="14"/>
  <c r="B137" i="14"/>
  <c r="K134" i="14"/>
  <c r="K133" i="14"/>
  <c r="J134" i="14"/>
  <c r="J133" i="14"/>
  <c r="I134" i="14"/>
  <c r="I133" i="14"/>
  <c r="H134" i="14"/>
  <c r="H133" i="14"/>
  <c r="G134" i="14"/>
  <c r="G133" i="14"/>
  <c r="F134" i="14"/>
  <c r="F133" i="14"/>
  <c r="E134" i="14"/>
  <c r="E133" i="14"/>
  <c r="D134" i="14"/>
  <c r="D133" i="14"/>
  <c r="C134" i="14"/>
  <c r="C133" i="14"/>
  <c r="B134" i="14"/>
  <c r="B133" i="14"/>
  <c r="H84" i="11"/>
  <c r="G84" i="11"/>
  <c r="F84" i="11"/>
  <c r="E84" i="11"/>
  <c r="D84" i="11"/>
  <c r="C84" i="11"/>
  <c r="B84" i="11"/>
  <c r="H83" i="11"/>
  <c r="G83" i="11"/>
  <c r="F83" i="11"/>
  <c r="E83" i="11"/>
  <c r="D83" i="11"/>
  <c r="C83" i="11"/>
  <c r="B83" i="11"/>
  <c r="H82" i="11"/>
  <c r="G82" i="11"/>
  <c r="F82" i="11"/>
  <c r="E82" i="11"/>
  <c r="D82" i="11"/>
  <c r="C82" i="11"/>
  <c r="B82" i="11"/>
  <c r="H81" i="11"/>
  <c r="G81" i="11"/>
  <c r="F81" i="11"/>
  <c r="E81" i="11"/>
  <c r="D81" i="11"/>
  <c r="C81" i="11"/>
  <c r="B81" i="11"/>
  <c r="H80" i="11"/>
  <c r="G80" i="11"/>
  <c r="F80" i="11"/>
  <c r="E80" i="11"/>
  <c r="D80" i="11"/>
  <c r="C80" i="11"/>
  <c r="B80" i="11"/>
  <c r="H79" i="11"/>
  <c r="G79" i="11"/>
  <c r="F79" i="11"/>
  <c r="E79" i="11"/>
  <c r="D79" i="11"/>
  <c r="C79" i="11"/>
  <c r="B79" i="11"/>
  <c r="H78" i="11"/>
  <c r="G78" i="11"/>
  <c r="F78" i="11"/>
  <c r="E78" i="11"/>
  <c r="D78" i="11"/>
  <c r="C78" i="11"/>
  <c r="B78" i="11"/>
  <c r="H74" i="11"/>
  <c r="G74" i="11"/>
  <c r="F74" i="11"/>
  <c r="E74" i="11"/>
  <c r="D74" i="11"/>
  <c r="C74" i="11"/>
  <c r="B74" i="11"/>
  <c r="H73" i="11"/>
  <c r="G73" i="11"/>
  <c r="F73" i="11"/>
  <c r="E73" i="11"/>
  <c r="D73" i="11"/>
  <c r="C73" i="11"/>
  <c r="B73" i="11"/>
  <c r="H72" i="11"/>
  <c r="G72" i="11"/>
  <c r="F72" i="11"/>
  <c r="E72" i="11"/>
  <c r="D72" i="11"/>
  <c r="C72" i="11"/>
  <c r="B72" i="11"/>
  <c r="H71" i="11"/>
  <c r="G71" i="11"/>
  <c r="F71" i="11"/>
  <c r="E71" i="11"/>
  <c r="D71" i="11"/>
  <c r="C71" i="11"/>
  <c r="B71" i="11"/>
  <c r="H70" i="11"/>
  <c r="G70" i="11"/>
  <c r="F70" i="11"/>
  <c r="E70" i="11"/>
  <c r="D70" i="11"/>
  <c r="C70" i="11"/>
  <c r="B70" i="11"/>
  <c r="H69" i="11"/>
  <c r="G69" i="11"/>
  <c r="F69" i="11"/>
  <c r="E69" i="11"/>
  <c r="D69" i="11"/>
  <c r="C69" i="11"/>
  <c r="B69" i="11"/>
  <c r="H68" i="11"/>
  <c r="G68" i="11"/>
  <c r="F68" i="11"/>
  <c r="E68" i="11"/>
  <c r="D68" i="11"/>
  <c r="C68" i="11"/>
  <c r="B68" i="11"/>
  <c r="H64" i="11"/>
  <c r="G64" i="11"/>
  <c r="F64" i="11"/>
  <c r="E64" i="11"/>
  <c r="D64" i="11"/>
  <c r="C64" i="11"/>
  <c r="B64" i="11"/>
  <c r="H63" i="11"/>
  <c r="G63" i="11"/>
  <c r="F63" i="11"/>
  <c r="E63" i="11"/>
  <c r="D63" i="11"/>
  <c r="C63" i="11"/>
  <c r="B63" i="11"/>
  <c r="H62" i="11"/>
  <c r="G62" i="11"/>
  <c r="F62" i="11"/>
  <c r="E62" i="11"/>
  <c r="D62" i="11"/>
  <c r="C62" i="11"/>
  <c r="B62" i="11"/>
  <c r="H61" i="11"/>
  <c r="G61" i="11"/>
  <c r="F61" i="11"/>
  <c r="E61" i="11"/>
  <c r="D61" i="11"/>
  <c r="C61" i="11"/>
  <c r="B61" i="11"/>
  <c r="H60" i="11"/>
  <c r="G60" i="11"/>
  <c r="F60" i="11"/>
  <c r="E60" i="11"/>
  <c r="D60" i="11"/>
  <c r="C60" i="11"/>
  <c r="B60" i="11"/>
  <c r="H59" i="11"/>
  <c r="G59" i="11"/>
  <c r="F59" i="11"/>
  <c r="E59" i="11"/>
  <c r="D59" i="11"/>
  <c r="C59" i="11"/>
  <c r="B59" i="11"/>
  <c r="H58" i="11"/>
  <c r="G58" i="11"/>
  <c r="F58" i="11"/>
  <c r="E58" i="11"/>
  <c r="D58" i="11"/>
  <c r="C58" i="11"/>
  <c r="B58" i="11"/>
  <c r="H54" i="11"/>
  <c r="G54" i="11"/>
  <c r="F54" i="11"/>
  <c r="E54" i="11"/>
  <c r="D54" i="11"/>
  <c r="C54" i="11"/>
  <c r="B54" i="11"/>
  <c r="H53" i="11"/>
  <c r="G53" i="11"/>
  <c r="F53" i="11"/>
  <c r="E53" i="11"/>
  <c r="D53" i="11"/>
  <c r="C53" i="11"/>
  <c r="B53" i="11"/>
  <c r="H52" i="11"/>
  <c r="G52" i="11"/>
  <c r="F52" i="11"/>
  <c r="E52" i="11"/>
  <c r="D52" i="11"/>
  <c r="C52" i="11"/>
  <c r="B52" i="11"/>
  <c r="H51" i="11"/>
  <c r="G51" i="11"/>
  <c r="F51" i="11"/>
  <c r="E51" i="11"/>
  <c r="D51" i="11"/>
  <c r="C51" i="11"/>
  <c r="B51" i="11"/>
  <c r="H50" i="11"/>
  <c r="G50" i="11"/>
  <c r="F50" i="11"/>
  <c r="E50" i="11"/>
  <c r="D50" i="11"/>
  <c r="C50" i="11"/>
  <c r="B50" i="11"/>
  <c r="H49" i="11"/>
  <c r="G49" i="11"/>
  <c r="F49" i="11"/>
  <c r="E49" i="11"/>
  <c r="D49" i="11"/>
  <c r="C49" i="11"/>
  <c r="B49" i="11"/>
  <c r="H48" i="11"/>
  <c r="G48" i="11"/>
  <c r="F48" i="11"/>
  <c r="E48" i="11"/>
  <c r="D48" i="11"/>
  <c r="C48" i="11"/>
  <c r="B48" i="11"/>
  <c r="F58" i="12"/>
  <c r="F57" i="12" a="1"/>
  <c r="F57" i="12" s="1"/>
  <c r="F56" i="12"/>
  <c r="D56" i="12"/>
  <c r="G56" i="12" s="1"/>
  <c r="E56" i="12"/>
  <c r="G55" i="12"/>
  <c r="E55" i="12"/>
  <c r="D55" i="12"/>
  <c r="G54" i="12"/>
  <c r="E54" i="12"/>
  <c r="D54" i="12"/>
  <c r="G53" i="12"/>
  <c r="E53" i="12"/>
  <c r="D53" i="12"/>
  <c r="G52" i="12"/>
  <c r="E52" i="12"/>
  <c r="D52" i="12"/>
  <c r="G51" i="12"/>
  <c r="E51" i="12"/>
  <c r="D51" i="12"/>
  <c r="G50" i="12"/>
  <c r="E50" i="12"/>
  <c r="D50" i="12"/>
  <c r="G49" i="12"/>
  <c r="E49" i="12"/>
  <c r="D49" i="12"/>
  <c r="G48" i="12"/>
  <c r="E48" i="12"/>
  <c r="D48" i="12"/>
  <c r="G47" i="12"/>
  <c r="E47" i="12"/>
  <c r="D47" i="12"/>
  <c r="G46" i="12"/>
  <c r="E46" i="12"/>
  <c r="D46" i="12"/>
  <c r="G45" i="12"/>
  <c r="E45" i="12"/>
  <c r="D45" i="12"/>
  <c r="G44" i="12"/>
  <c r="E44" i="12"/>
  <c r="D44" i="12"/>
  <c r="G43" i="12"/>
  <c r="E43" i="12"/>
  <c r="D43" i="12"/>
  <c r="G42" i="12"/>
  <c r="E42" i="12"/>
  <c r="D42" i="12"/>
  <c r="G41" i="12"/>
  <c r="E41" i="12"/>
  <c r="D41" i="12"/>
  <c r="G40" i="12" s="1"/>
  <c r="E40" i="12"/>
  <c r="D40" i="12"/>
  <c r="B70" i="8"/>
  <c r="B69" i="8"/>
  <c r="B68" i="8"/>
  <c r="B67" i="8"/>
  <c r="B66" i="8"/>
  <c r="E62" i="8"/>
  <c r="F61" i="8"/>
  <c r="F60" i="8"/>
  <c r="F59" i="8"/>
  <c r="F58" i="8"/>
  <c r="F57" i="8"/>
  <c r="E61" i="8"/>
  <c r="C61" i="8"/>
  <c r="B61" i="8"/>
  <c r="E60" i="8"/>
  <c r="C60" i="8"/>
  <c r="B60" i="8"/>
  <c r="E59" i="8"/>
  <c r="C59" i="8"/>
  <c r="B59" i="8"/>
  <c r="E58" i="8"/>
  <c r="C58" i="8"/>
  <c r="B58" i="8"/>
  <c r="E57" i="8"/>
  <c r="C57" i="8"/>
  <c r="B57" i="8"/>
  <c r="B87" i="7"/>
  <c r="B86" i="7"/>
  <c r="B85" i="7"/>
  <c r="B84" i="7"/>
  <c r="B83" i="7"/>
  <c r="F80" i="7"/>
  <c r="F79" i="7"/>
  <c r="F78" i="7"/>
  <c r="F77" i="7"/>
  <c r="F76" i="7"/>
  <c r="F75" i="7"/>
  <c r="F73" i="7"/>
  <c r="E80" i="7"/>
  <c r="E79" i="7"/>
  <c r="E78" i="7"/>
  <c r="E77" i="7"/>
  <c r="E76" i="7"/>
  <c r="E75" i="7"/>
  <c r="E73" i="7"/>
  <c r="D80" i="7"/>
  <c r="D79" i="7"/>
  <c r="D78" i="7"/>
  <c r="D77" i="7"/>
  <c r="D76" i="7"/>
  <c r="D75" i="7"/>
  <c r="D73" i="7"/>
  <c r="C80" i="7"/>
  <c r="C79" i="7"/>
  <c r="C78" i="7"/>
  <c r="C77" i="7"/>
  <c r="C76" i="7"/>
  <c r="C75" i="7"/>
  <c r="C73" i="7"/>
  <c r="B80" i="7"/>
  <c r="B79" i="7"/>
  <c r="B78" i="7"/>
  <c r="B77" i="7"/>
  <c r="B76" i="7"/>
  <c r="B75" i="7"/>
  <c r="K120" i="5"/>
  <c r="K119" i="5"/>
  <c r="K118" i="5"/>
  <c r="K115" i="5"/>
  <c r="K114" i="5"/>
  <c r="K113" i="5"/>
  <c r="K112" i="5"/>
  <c r="K111" i="5"/>
  <c r="K108" i="5"/>
  <c r="K107" i="5"/>
  <c r="K106" i="5"/>
  <c r="K105" i="5"/>
  <c r="K103" i="5"/>
  <c r="K102" i="5"/>
  <c r="K101" i="5"/>
  <c r="K100" i="5"/>
  <c r="K98" i="5"/>
  <c r="K97" i="5"/>
  <c r="K96" i="5"/>
  <c r="J120" i="5"/>
  <c r="J119" i="5"/>
  <c r="J118" i="5"/>
  <c r="J115" i="5"/>
  <c r="J114" i="5"/>
  <c r="J113" i="5"/>
  <c r="J112" i="5"/>
  <c r="J111" i="5"/>
  <c r="J108" i="5"/>
  <c r="J107" i="5"/>
  <c r="J106" i="5"/>
  <c r="J105" i="5"/>
  <c r="J103" i="5"/>
  <c r="J102" i="5"/>
  <c r="J101" i="5"/>
  <c r="J100" i="5"/>
  <c r="J98" i="5"/>
  <c r="J97" i="5"/>
  <c r="J96" i="5"/>
  <c r="I120" i="5"/>
  <c r="I119" i="5"/>
  <c r="I118" i="5"/>
  <c r="I115" i="5"/>
  <c r="I114" i="5"/>
  <c r="I113" i="5"/>
  <c r="I112" i="5"/>
  <c r="I111" i="5"/>
  <c r="I108" i="5"/>
  <c r="I107" i="5"/>
  <c r="I106" i="5"/>
  <c r="I105" i="5"/>
  <c r="I103" i="5"/>
  <c r="I102" i="5"/>
  <c r="I101" i="5"/>
  <c r="I100" i="5"/>
  <c r="I98" i="5"/>
  <c r="I97" i="5"/>
  <c r="I96" i="5"/>
  <c r="H120" i="5"/>
  <c r="H119" i="5"/>
  <c r="H118" i="5"/>
  <c r="H115" i="5"/>
  <c r="H114" i="5"/>
  <c r="H113" i="5"/>
  <c r="H112" i="5"/>
  <c r="H111" i="5"/>
  <c r="H108" i="5"/>
  <c r="H107" i="5"/>
  <c r="H106" i="5"/>
  <c r="H105" i="5"/>
  <c r="H103" i="5"/>
  <c r="H102" i="5"/>
  <c r="H101" i="5"/>
  <c r="H100" i="5"/>
  <c r="H98" i="5"/>
  <c r="H97" i="5"/>
  <c r="H96" i="5"/>
  <c r="G120" i="5"/>
  <c r="G119" i="5"/>
  <c r="G118" i="5"/>
  <c r="G115" i="5"/>
  <c r="G114" i="5"/>
  <c r="G113" i="5"/>
  <c r="G112" i="5"/>
  <c r="G111" i="5"/>
  <c r="G108" i="5"/>
  <c r="G107" i="5"/>
  <c r="G106" i="5"/>
  <c r="G105" i="5"/>
  <c r="G103" i="5"/>
  <c r="G102" i="5"/>
  <c r="G101" i="5"/>
  <c r="G100" i="5"/>
  <c r="G98" i="5"/>
  <c r="G97" i="5"/>
  <c r="G96" i="5"/>
  <c r="F120" i="5"/>
  <c r="F119" i="5"/>
  <c r="F118" i="5"/>
  <c r="F115" i="5"/>
  <c r="F114" i="5"/>
  <c r="F113" i="5"/>
  <c r="F112" i="5"/>
  <c r="F111" i="5"/>
  <c r="F108" i="5"/>
  <c r="F107" i="5"/>
  <c r="F106" i="5"/>
  <c r="F105" i="5"/>
  <c r="F103" i="5"/>
  <c r="F102" i="5"/>
  <c r="F101" i="5"/>
  <c r="F100" i="5"/>
  <c r="F98" i="5"/>
  <c r="F97" i="5"/>
  <c r="F96" i="5"/>
  <c r="E120" i="5"/>
  <c r="E119" i="5"/>
  <c r="E118" i="5"/>
  <c r="E115" i="5"/>
  <c r="E114" i="5"/>
  <c r="E113" i="5"/>
  <c r="E112" i="5"/>
  <c r="E111" i="5"/>
  <c r="E108" i="5"/>
  <c r="E107" i="5"/>
  <c r="E106" i="5"/>
  <c r="E105" i="5"/>
  <c r="E103" i="5"/>
  <c r="E102" i="5"/>
  <c r="E101" i="5"/>
  <c r="E100" i="5"/>
  <c r="E98" i="5"/>
  <c r="E97" i="5"/>
  <c r="E96" i="5"/>
  <c r="D120" i="5"/>
  <c r="D119" i="5"/>
  <c r="D118" i="5"/>
  <c r="D115" i="5"/>
  <c r="D114" i="5"/>
  <c r="D113" i="5"/>
  <c r="D112" i="5"/>
  <c r="D111" i="5"/>
  <c r="D108" i="5"/>
  <c r="D107" i="5"/>
  <c r="D106" i="5"/>
  <c r="D105" i="5"/>
  <c r="D103" i="5"/>
  <c r="D102" i="5"/>
  <c r="D101" i="5"/>
  <c r="D100" i="5"/>
  <c r="D98" i="5"/>
  <c r="D97" i="5"/>
  <c r="D96" i="5"/>
  <c r="C120" i="5"/>
  <c r="C119" i="5"/>
  <c r="C118" i="5"/>
  <c r="C115" i="5"/>
  <c r="C114" i="5"/>
  <c r="C113" i="5"/>
  <c r="C112" i="5"/>
  <c r="C111" i="5"/>
  <c r="C108" i="5"/>
  <c r="C107" i="5"/>
  <c r="C106" i="5"/>
  <c r="C105" i="5"/>
  <c r="C103" i="5"/>
  <c r="C102" i="5"/>
  <c r="C101" i="5"/>
  <c r="C100" i="5"/>
  <c r="C98" i="5"/>
  <c r="C97" i="5"/>
  <c r="C96" i="5"/>
  <c r="B115" i="5"/>
  <c r="B114" i="5"/>
  <c r="B111" i="5"/>
  <c r="B105" i="5"/>
  <c r="B100" i="5"/>
  <c r="B96" i="5"/>
  <c r="K149" i="3"/>
  <c r="K148" i="3"/>
  <c r="K147" i="3"/>
  <c r="K146" i="3"/>
  <c r="K145" i="3"/>
  <c r="K144" i="3"/>
  <c r="K141" i="3"/>
  <c r="K140" i="3"/>
  <c r="K139" i="3"/>
  <c r="K138" i="3"/>
  <c r="K137" i="3"/>
  <c r="K136" i="3"/>
  <c r="K135" i="3"/>
  <c r="K134" i="3"/>
  <c r="K133" i="3"/>
  <c r="K132" i="3"/>
  <c r="J149" i="3"/>
  <c r="J148" i="3"/>
  <c r="J147" i="3"/>
  <c r="J146" i="3"/>
  <c r="J145" i="3"/>
  <c r="J144" i="3"/>
  <c r="J141" i="3"/>
  <c r="J140" i="3"/>
  <c r="J139" i="3"/>
  <c r="J138" i="3"/>
  <c r="J137" i="3"/>
  <c r="J136" i="3"/>
  <c r="J135" i="3"/>
  <c r="J134" i="3"/>
  <c r="J133" i="3"/>
  <c r="J132" i="3"/>
  <c r="I149" i="3"/>
  <c r="I148" i="3"/>
  <c r="I147" i="3"/>
  <c r="I146" i="3"/>
  <c r="I145" i="3"/>
  <c r="I144" i="3"/>
  <c r="I141" i="3"/>
  <c r="I140" i="3"/>
  <c r="I139" i="3"/>
  <c r="I138" i="3"/>
  <c r="I137" i="3"/>
  <c r="I136" i="3"/>
  <c r="I135" i="3"/>
  <c r="I134" i="3"/>
  <c r="I133" i="3"/>
  <c r="I132" i="3"/>
  <c r="H149" i="3"/>
  <c r="H148" i="3"/>
  <c r="H147" i="3"/>
  <c r="H146" i="3"/>
  <c r="H145" i="3"/>
  <c r="H144" i="3"/>
  <c r="H141" i="3"/>
  <c r="H140" i="3"/>
  <c r="H139" i="3"/>
  <c r="H138" i="3"/>
  <c r="H137" i="3"/>
  <c r="H136" i="3"/>
  <c r="H135" i="3"/>
  <c r="H134" i="3"/>
  <c r="H133" i="3"/>
  <c r="H132" i="3"/>
  <c r="G149" i="3"/>
  <c r="G148" i="3"/>
  <c r="G147" i="3"/>
  <c r="G146" i="3"/>
  <c r="G145" i="3"/>
  <c r="G144" i="3"/>
  <c r="G141" i="3"/>
  <c r="G140" i="3"/>
  <c r="G139" i="3"/>
  <c r="G138" i="3"/>
  <c r="G137" i="3"/>
  <c r="G136" i="3"/>
  <c r="G135" i="3"/>
  <c r="G134" i="3"/>
  <c r="G133" i="3"/>
  <c r="G132" i="3"/>
  <c r="F149" i="3"/>
  <c r="F148" i="3"/>
  <c r="F147" i="3"/>
  <c r="F146" i="3"/>
  <c r="F145" i="3"/>
  <c r="F144" i="3"/>
  <c r="F141" i="3"/>
  <c r="F140" i="3"/>
  <c r="F139" i="3"/>
  <c r="F138" i="3"/>
  <c r="F137" i="3"/>
  <c r="F136" i="3"/>
  <c r="F135" i="3"/>
  <c r="F134" i="3"/>
  <c r="F133" i="3"/>
  <c r="F132" i="3"/>
  <c r="E149" i="3"/>
  <c r="E148" i="3"/>
  <c r="E147" i="3"/>
  <c r="E146" i="3"/>
  <c r="E145" i="3"/>
  <c r="E144" i="3"/>
  <c r="E141" i="3"/>
  <c r="E140" i="3"/>
  <c r="E139" i="3"/>
  <c r="E138" i="3"/>
  <c r="E137" i="3"/>
  <c r="E136" i="3"/>
  <c r="E135" i="3"/>
  <c r="E134" i="3"/>
  <c r="E133" i="3"/>
  <c r="E132" i="3"/>
  <c r="D149" i="3"/>
  <c r="D148" i="3"/>
  <c r="D147" i="3"/>
  <c r="D146" i="3"/>
  <c r="D145" i="3"/>
  <c r="D144" i="3"/>
  <c r="D141" i="3"/>
  <c r="D140" i="3"/>
  <c r="D139" i="3"/>
  <c r="D138" i="3"/>
  <c r="D137" i="3"/>
  <c r="D136" i="3"/>
  <c r="D135" i="3"/>
  <c r="D134" i="3"/>
  <c r="D133" i="3"/>
  <c r="D132" i="3"/>
  <c r="C149" i="3"/>
  <c r="C148" i="3"/>
  <c r="C147" i="3"/>
  <c r="C146" i="3"/>
  <c r="C145" i="3"/>
  <c r="C144" i="3"/>
  <c r="C141" i="3"/>
  <c r="C140" i="3"/>
  <c r="C139" i="3"/>
  <c r="C138" i="3"/>
  <c r="C137" i="3"/>
  <c r="C136" i="3"/>
  <c r="C135" i="3"/>
  <c r="C134" i="3"/>
  <c r="C133" i="3"/>
  <c r="C132" i="3"/>
  <c r="B149" i="3"/>
  <c r="B148" i="3"/>
  <c r="B147" i="3"/>
  <c r="B146" i="3"/>
  <c r="B145" i="3"/>
  <c r="B141" i="3"/>
  <c r="B140" i="3"/>
  <c r="B139" i="3"/>
  <c r="B138" i="3"/>
  <c r="B137" i="3"/>
  <c r="B136" i="3"/>
  <c r="B135" i="3"/>
  <c r="B134" i="3"/>
  <c r="B133" i="3"/>
  <c r="B161" i="2"/>
  <c r="B160" i="2"/>
  <c r="B159" i="2"/>
  <c r="B158" i="2"/>
  <c r="B157" i="2"/>
  <c r="B155" i="2"/>
  <c r="B150" i="2"/>
  <c r="D161" i="2"/>
  <c r="D160" i="2"/>
  <c r="D159" i="2"/>
  <c r="D158" i="2"/>
  <c r="D157" i="2"/>
  <c r="D155" i="2"/>
  <c r="D150" i="2"/>
  <c r="B130" i="14"/>
  <c r="B129" i="14"/>
  <c r="B128" i="14"/>
  <c r="B127" i="14"/>
  <c r="B108" i="14"/>
  <c r="B107" i="14"/>
  <c r="B106" i="14"/>
  <c r="B105" i="14"/>
  <c r="B104" i="14"/>
  <c r="K101" i="14"/>
  <c r="K100" i="14"/>
  <c r="J101" i="14"/>
  <c r="J100" i="14"/>
  <c r="I101" i="14"/>
  <c r="I100" i="14"/>
  <c r="H101" i="14"/>
  <c r="H100" i="14"/>
  <c r="G101" i="14"/>
  <c r="G100" i="14"/>
  <c r="F101" i="14"/>
  <c r="F100" i="14"/>
  <c r="E101" i="14"/>
  <c r="E100" i="14"/>
  <c r="D101" i="14"/>
  <c r="D100" i="14"/>
  <c r="C101" i="14"/>
  <c r="C100" i="14"/>
  <c r="B101" i="14"/>
  <c r="B100" i="14"/>
  <c r="K96" i="14"/>
  <c r="K95" i="14"/>
  <c r="K94" i="14"/>
  <c r="J96" i="14"/>
  <c r="J95" i="14"/>
  <c r="J94" i="14"/>
  <c r="I96" i="14"/>
  <c r="I95" i="14"/>
  <c r="I94" i="14"/>
  <c r="H96" i="14"/>
  <c r="H95" i="14"/>
  <c r="H94" i="14"/>
  <c r="G96" i="14"/>
  <c r="G95" i="14"/>
  <c r="G94" i="14"/>
  <c r="F96" i="14"/>
  <c r="F95" i="14"/>
  <c r="F94" i="14"/>
  <c r="E96" i="14"/>
  <c r="E95" i="14"/>
  <c r="E94" i="14"/>
  <c r="D96" i="14"/>
  <c r="D95" i="14"/>
  <c r="D94" i="14"/>
  <c r="C96" i="14"/>
  <c r="C95" i="14"/>
  <c r="C94" i="14"/>
  <c r="B96" i="14"/>
  <c r="B95" i="14"/>
  <c r="B94" i="14"/>
  <c r="K90" i="14"/>
  <c r="K89" i="14"/>
  <c r="J90" i="14"/>
  <c r="J89" i="14"/>
  <c r="I90" i="14"/>
  <c r="I89" i="14"/>
  <c r="H90" i="14"/>
  <c r="H89" i="14"/>
  <c r="G90" i="14"/>
  <c r="G89" i="14"/>
  <c r="F90" i="14"/>
  <c r="F89" i="14"/>
  <c r="E90" i="14"/>
  <c r="E89" i="14"/>
  <c r="D90" i="14"/>
  <c r="D89" i="14"/>
  <c r="C90" i="14"/>
  <c r="C89" i="14"/>
  <c r="B90" i="14"/>
  <c r="B89" i="14"/>
  <c r="B85" i="14"/>
  <c r="B84" i="14"/>
  <c r="B83" i="14"/>
  <c r="B82" i="14"/>
  <c r="B81" i="14"/>
  <c r="B77" i="14"/>
  <c r="B76" i="14"/>
  <c r="B75" i="14"/>
  <c r="B74" i="14"/>
  <c r="B73" i="14"/>
  <c r="B69" i="14"/>
  <c r="B68" i="14"/>
  <c r="B67" i="14"/>
  <c r="B66" i="14"/>
  <c r="K62" i="14"/>
  <c r="K61" i="14"/>
  <c r="K60" i="14"/>
  <c r="J62" i="14"/>
  <c r="J61" i="14"/>
  <c r="J60" i="14"/>
  <c r="I62" i="14"/>
  <c r="I61" i="14"/>
  <c r="I60" i="14"/>
  <c r="H62" i="14"/>
  <c r="H61" i="14"/>
  <c r="H60" i="14"/>
  <c r="G62" i="14"/>
  <c r="G61" i="14"/>
  <c r="G60" i="14"/>
  <c r="F62" i="14"/>
  <c r="F61" i="14"/>
  <c r="F60" i="14"/>
  <c r="E62" i="14"/>
  <c r="E61" i="14"/>
  <c r="E60" i="14"/>
  <c r="D62" i="14"/>
  <c r="D61" i="14"/>
  <c r="D60" i="14"/>
  <c r="C62" i="14"/>
  <c r="C61" i="14"/>
  <c r="C60" i="14"/>
  <c r="B62" i="14"/>
  <c r="B61" i="14"/>
  <c r="B60" i="14"/>
  <c r="K56" i="14"/>
  <c r="K55" i="14"/>
  <c r="K54" i="14"/>
  <c r="K53" i="14"/>
  <c r="K52" i="14"/>
  <c r="J56" i="14"/>
  <c r="J55" i="14"/>
  <c r="J54" i="14"/>
  <c r="J53" i="14"/>
  <c r="J52" i="14"/>
  <c r="I56" i="14"/>
  <c r="I55" i="14"/>
  <c r="I54" i="14"/>
  <c r="I53" i="14"/>
  <c r="I52" i="14"/>
  <c r="H56" i="14"/>
  <c r="H55" i="14"/>
  <c r="H54" i="14"/>
  <c r="H53" i="14"/>
  <c r="H52" i="14"/>
  <c r="G56" i="14"/>
  <c r="G55" i="14"/>
  <c r="G54" i="14"/>
  <c r="G53" i="14"/>
  <c r="G52" i="14"/>
  <c r="F56" i="14"/>
  <c r="F55" i="14"/>
  <c r="F54" i="14"/>
  <c r="F53" i="14"/>
  <c r="F52" i="14"/>
  <c r="E56" i="14"/>
  <c r="E55" i="14"/>
  <c r="E54" i="14"/>
  <c r="E53" i="14"/>
  <c r="E52" i="14"/>
  <c r="D56" i="14"/>
  <c r="D55" i="14"/>
  <c r="D54" i="14"/>
  <c r="D53" i="14"/>
  <c r="D52" i="14"/>
  <c r="C56" i="14"/>
  <c r="C55" i="14"/>
  <c r="C54" i="14"/>
  <c r="C53" i="14"/>
  <c r="C52" i="14"/>
  <c r="B56" i="14"/>
  <c r="B55" i="14"/>
  <c r="B54" i="14"/>
  <c r="B53" i="14"/>
  <c r="B52" i="14"/>
  <c r="C47" i="14"/>
  <c r="B48" i="14"/>
  <c r="B47" i="14"/>
  <c r="E43" i="14"/>
  <c r="E42" i="14"/>
  <c r="E41" i="14"/>
  <c r="E40" i="14"/>
  <c r="D43" i="14"/>
  <c r="D42" i="14"/>
  <c r="D41" i="14"/>
  <c r="D40" i="14"/>
  <c r="C43" i="14"/>
  <c r="C42" i="14"/>
  <c r="C41" i="14"/>
  <c r="C40" i="14"/>
  <c r="B43" i="14"/>
  <c r="B42" i="14"/>
  <c r="B41" i="14"/>
  <c r="B40" i="14"/>
  <c r="K36" i="14"/>
  <c r="K35" i="14"/>
  <c r="K34" i="14"/>
  <c r="J36" i="14"/>
  <c r="J35" i="14"/>
  <c r="J34" i="14"/>
  <c r="I36" i="14"/>
  <c r="I35" i="14"/>
  <c r="I34" i="14"/>
  <c r="H36" i="14"/>
  <c r="H35" i="14"/>
  <c r="H34" i="14"/>
  <c r="G36" i="14"/>
  <c r="G35" i="14"/>
  <c r="G34" i="14"/>
  <c r="F36" i="14"/>
  <c r="F35" i="14"/>
  <c r="F34" i="14"/>
  <c r="E36" i="14"/>
  <c r="E35" i="14"/>
  <c r="E34" i="14"/>
  <c r="D36" i="14"/>
  <c r="D35" i="14"/>
  <c r="D34" i="14"/>
  <c r="C36" i="14"/>
  <c r="C35" i="14"/>
  <c r="C34" i="14"/>
  <c r="B36" i="14"/>
  <c r="B35" i="14"/>
  <c r="B34" i="14"/>
  <c r="K30" i="14"/>
  <c r="K29" i="14"/>
  <c r="J30" i="14"/>
  <c r="J29" i="14"/>
  <c r="I30" i="14"/>
  <c r="I29" i="14"/>
  <c r="H30" i="14"/>
  <c r="H29" i="14"/>
  <c r="G30" i="14"/>
  <c r="G29" i="14"/>
  <c r="F30" i="14"/>
  <c r="F29" i="14"/>
  <c r="E30" i="14"/>
  <c r="E29" i="14"/>
  <c r="D30" i="14"/>
  <c r="D29" i="14"/>
  <c r="C30" i="14"/>
  <c r="C29" i="14"/>
  <c r="B30" i="14"/>
  <c r="B29" i="14"/>
  <c r="E25" i="14"/>
  <c r="E24" i="14"/>
  <c r="E23" i="14"/>
  <c r="E22" i="14"/>
  <c r="B25" i="14"/>
  <c r="B24" i="14"/>
  <c r="B23" i="14"/>
  <c r="B22" i="14"/>
  <c r="K18" i="14"/>
  <c r="K17" i="14"/>
  <c r="K16" i="14"/>
  <c r="J18" i="14"/>
  <c r="J17" i="14"/>
  <c r="J16" i="14"/>
  <c r="I18" i="14"/>
  <c r="I17" i="14"/>
  <c r="I16" i="14"/>
  <c r="H18" i="14"/>
  <c r="H17" i="14"/>
  <c r="H16" i="14"/>
  <c r="G18" i="14"/>
  <c r="G17" i="14"/>
  <c r="G16" i="14"/>
  <c r="F18" i="14"/>
  <c r="F17" i="14"/>
  <c r="F16" i="14"/>
  <c r="E18" i="14"/>
  <c r="E17" i="14"/>
  <c r="E16" i="14"/>
  <c r="D18" i="14"/>
  <c r="D17" i="14"/>
  <c r="D16" i="14"/>
  <c r="C18" i="14"/>
  <c r="C17" i="14"/>
  <c r="C16" i="14"/>
  <c r="B18" i="14"/>
  <c r="B17" i="14"/>
  <c r="B16" i="14"/>
  <c r="K12" i="14"/>
  <c r="K11" i="14"/>
  <c r="K10" i="14"/>
  <c r="J12" i="14"/>
  <c r="J11" i="14"/>
  <c r="J10" i="14"/>
  <c r="I12" i="14"/>
  <c r="I11" i="14"/>
  <c r="I10" i="14"/>
  <c r="H12" i="14"/>
  <c r="H11" i="14"/>
  <c r="H10" i="14"/>
  <c r="G12" i="14"/>
  <c r="G11" i="14"/>
  <c r="G10" i="14"/>
  <c r="F12" i="14"/>
  <c r="F11" i="14"/>
  <c r="F10" i="14"/>
  <c r="E12" i="14"/>
  <c r="E11" i="14"/>
  <c r="E10" i="14"/>
  <c r="D12" i="14"/>
  <c r="D11" i="14"/>
  <c r="D10" i="14"/>
  <c r="C12" i="14"/>
  <c r="C11" i="14"/>
  <c r="C10" i="14"/>
  <c r="B12" i="14"/>
  <c r="B11" i="14"/>
  <c r="B10" i="14"/>
  <c r="K6" i="14"/>
  <c r="K5" i="14"/>
  <c r="K4" i="14"/>
  <c r="K3" i="14"/>
  <c r="J6" i="14"/>
  <c r="J5" i="14"/>
  <c r="J4" i="14"/>
  <c r="J3" i="14"/>
  <c r="I6" i="14"/>
  <c r="I5" i="14"/>
  <c r="I4" i="14"/>
  <c r="I3" i="14"/>
  <c r="H6" i="14"/>
  <c r="H5" i="14"/>
  <c r="H4" i="14"/>
  <c r="H3" i="14"/>
  <c r="G6" i="14"/>
  <c r="G5" i="14"/>
  <c r="G4" i="14"/>
  <c r="G3" i="14"/>
  <c r="F6" i="14"/>
  <c r="F5" i="14"/>
  <c r="F4" i="14"/>
  <c r="F3" i="14"/>
  <c r="E6" i="14"/>
  <c r="E5" i="14"/>
  <c r="E4" i="14"/>
  <c r="E3" i="14"/>
  <c r="D6" i="14"/>
  <c r="D5" i="14"/>
  <c r="D4" i="14"/>
  <c r="D3" i="14"/>
  <c r="C6" i="14"/>
  <c r="C5" i="14"/>
  <c r="C4" i="14"/>
  <c r="C3" i="14"/>
  <c r="B6" i="14"/>
  <c r="B5" i="14"/>
  <c r="B4" i="14"/>
  <c r="B3" i="14"/>
  <c r="B23" i="1"/>
  <c r="B22" i="1"/>
  <c r="B38" i="9"/>
  <c r="B36" i="9"/>
  <c r="C34" i="9" s="1"/>
  <c r="C36" i="9" s="1"/>
  <c r="B34" i="9"/>
  <c r="B32" i="9"/>
  <c r="B28" i="9"/>
  <c r="B42" i="9"/>
  <c r="G22" i="9"/>
  <c r="F22" i="9"/>
  <c r="E22" i="9"/>
  <c r="D22" i="9"/>
  <c r="C22" i="9"/>
  <c r="B4" i="9"/>
  <c r="K44" i="6"/>
  <c r="K41" i="6"/>
  <c r="K28" i="6"/>
  <c r="J44" i="6"/>
  <c r="J41" i="6"/>
  <c r="J28" i="6"/>
  <c r="I44" i="6"/>
  <c r="I41" i="6"/>
  <c r="I28" i="6"/>
  <c r="H44" i="6"/>
  <c r="H41" i="6"/>
  <c r="H28" i="6"/>
  <c r="G44" i="6"/>
  <c r="G41" i="6"/>
  <c r="G28" i="6"/>
  <c r="F44" i="6"/>
  <c r="F41" i="6"/>
  <c r="F28" i="6"/>
  <c r="E44" i="6"/>
  <c r="E41" i="6"/>
  <c r="E28" i="6"/>
  <c r="D44" i="6"/>
  <c r="D41" i="6"/>
  <c r="D28" i="6"/>
  <c r="C44" i="6"/>
  <c r="C41" i="6"/>
  <c r="C28" i="6"/>
  <c r="B44" i="6"/>
  <c r="B41" i="6"/>
  <c r="B28" i="6"/>
  <c r="K58" i="5"/>
  <c r="K57" i="5"/>
  <c r="K50" i="5"/>
  <c r="J58" i="5"/>
  <c r="J57" i="5"/>
  <c r="J50" i="5"/>
  <c r="I58" i="5"/>
  <c r="I57" i="5"/>
  <c r="I50" i="5"/>
  <c r="H58" i="5"/>
  <c r="H57" i="5"/>
  <c r="H50" i="5"/>
  <c r="G58" i="5"/>
  <c r="G57" i="5"/>
  <c r="G50" i="5"/>
  <c r="F58" i="5"/>
  <c r="F57" i="5"/>
  <c r="F50" i="5"/>
  <c r="E58" i="5"/>
  <c r="E57" i="5"/>
  <c r="E50" i="5"/>
  <c r="D58" i="5"/>
  <c r="D57" i="5"/>
  <c r="D50" i="5"/>
  <c r="C58" i="5"/>
  <c r="C57" i="5"/>
  <c r="C50" i="5"/>
  <c r="B58" i="5"/>
  <c r="B57" i="5"/>
  <c r="B50" i="5"/>
  <c r="E41" i="1"/>
  <c r="D41" i="1"/>
  <c r="C41" i="1"/>
  <c r="B41" i="1"/>
  <c r="E40" i="1"/>
  <c r="D40" i="1"/>
  <c r="C40" i="1"/>
  <c r="B40" i="1"/>
  <c r="E39" i="1"/>
  <c r="D39" i="1"/>
  <c r="C39" i="1"/>
  <c r="B39" i="1"/>
  <c r="B35" i="1"/>
  <c r="B34" i="1"/>
  <c r="B33" i="1"/>
  <c r="B32" i="1"/>
  <c r="B31" i="1"/>
  <c r="B30" i="1"/>
  <c r="B29" i="1"/>
  <c r="B28" i="1"/>
  <c r="K14" i="1"/>
  <c r="K13" i="1"/>
  <c r="K11" i="1"/>
  <c r="K10" i="1"/>
  <c r="K9" i="1"/>
  <c r="K8" i="1"/>
  <c r="K7" i="1"/>
  <c r="J14" i="1"/>
  <c r="J13" i="1"/>
  <c r="J11" i="1"/>
  <c r="J10" i="1"/>
  <c r="J9" i="1"/>
  <c r="J8" i="1"/>
  <c r="J7" i="1"/>
  <c r="I14" i="1"/>
  <c r="I13" i="1"/>
  <c r="I11" i="1"/>
  <c r="I10" i="1"/>
  <c r="I9" i="1"/>
  <c r="I8" i="1"/>
  <c r="I7" i="1"/>
  <c r="H14" i="1"/>
  <c r="H13" i="1"/>
  <c r="H11" i="1"/>
  <c r="H10" i="1"/>
  <c r="H9" i="1"/>
  <c r="H8" i="1"/>
  <c r="H7" i="1"/>
  <c r="G14" i="1"/>
  <c r="G13" i="1"/>
  <c r="G11" i="1"/>
  <c r="G10" i="1"/>
  <c r="G9" i="1"/>
  <c r="G8" i="1"/>
  <c r="G7" i="1"/>
  <c r="F14" i="1"/>
  <c r="F13" i="1"/>
  <c r="F11" i="1"/>
  <c r="F10" i="1"/>
  <c r="F9" i="1"/>
  <c r="F8" i="1"/>
  <c r="F7" i="1"/>
  <c r="E14" i="1"/>
  <c r="E13" i="1"/>
  <c r="E11" i="1"/>
  <c r="E10" i="1"/>
  <c r="E9" i="1"/>
  <c r="E8" i="1"/>
  <c r="E7" i="1"/>
  <c r="D14" i="1"/>
  <c r="D13" i="1"/>
  <c r="D11" i="1"/>
  <c r="D10" i="1"/>
  <c r="D9" i="1"/>
  <c r="D8" i="1"/>
  <c r="D7" i="1"/>
  <c r="C14" i="1"/>
  <c r="C13" i="1"/>
  <c r="C11" i="1"/>
  <c r="C10" i="1"/>
  <c r="C9" i="1"/>
  <c r="C8" i="1"/>
  <c r="C7" i="1"/>
  <c r="B14" i="1"/>
  <c r="B13" i="1"/>
  <c r="B11" i="1"/>
  <c r="B10" i="1"/>
  <c r="B9" i="1"/>
  <c r="B8" i="1"/>
  <c r="B7" i="1"/>
  <c r="K38" i="13"/>
  <c r="J38" i="13"/>
  <c r="I38" i="13"/>
  <c r="H38" i="13"/>
  <c r="G38" i="13"/>
  <c r="F38" i="13"/>
  <c r="E38" i="13"/>
  <c r="D38" i="13"/>
  <c r="C38" i="13"/>
  <c r="B38" i="13"/>
  <c r="K37" i="13"/>
  <c r="J37" i="13"/>
  <c r="I37" i="13"/>
  <c r="H37" i="13"/>
  <c r="G37" i="13"/>
  <c r="F37" i="13"/>
  <c r="E37" i="13"/>
  <c r="D37" i="13"/>
  <c r="C37" i="13"/>
  <c r="B37" i="13"/>
  <c r="K36" i="13"/>
  <c r="J36" i="13"/>
  <c r="I36" i="13"/>
  <c r="H36" i="13"/>
  <c r="G36" i="13"/>
  <c r="F36" i="13"/>
  <c r="E36" i="13"/>
  <c r="D36" i="13"/>
  <c r="C36" i="13"/>
  <c r="B36" i="13"/>
  <c r="K35" i="13"/>
  <c r="J35" i="13"/>
  <c r="I35" i="13"/>
  <c r="H35" i="13"/>
  <c r="G35" i="13"/>
  <c r="F35" i="13"/>
  <c r="E35" i="13"/>
  <c r="D35" i="13"/>
  <c r="C35" i="13"/>
  <c r="B35" i="13"/>
  <c r="K34" i="13"/>
  <c r="J34" i="13"/>
  <c r="I34" i="13"/>
  <c r="H34" i="13"/>
  <c r="G34" i="13"/>
  <c r="F34" i="13"/>
  <c r="E34" i="13"/>
  <c r="D34" i="13"/>
  <c r="C34" i="13"/>
  <c r="B34" i="13"/>
  <c r="K33" i="13"/>
  <c r="J33" i="13"/>
  <c r="I33" i="13"/>
  <c r="H33" i="13"/>
  <c r="G33" i="13"/>
  <c r="F33" i="13"/>
  <c r="E33" i="13"/>
  <c r="D33" i="13"/>
  <c r="C33" i="13"/>
  <c r="B33" i="13"/>
  <c r="K32" i="13"/>
  <c r="J32" i="13"/>
  <c r="I32" i="13"/>
  <c r="H32" i="13"/>
  <c r="G32" i="13"/>
  <c r="F32" i="13"/>
  <c r="E32" i="13"/>
  <c r="D32" i="13"/>
  <c r="C32" i="13"/>
  <c r="B32" i="13"/>
  <c r="K31" i="13"/>
  <c r="J31" i="13"/>
  <c r="I31" i="13"/>
  <c r="H31" i="13"/>
  <c r="G31" i="13"/>
  <c r="F31" i="13"/>
  <c r="E31" i="13"/>
  <c r="D31" i="13"/>
  <c r="C31" i="13"/>
  <c r="B31" i="13"/>
  <c r="K30" i="13"/>
  <c r="J30" i="13"/>
  <c r="I30" i="13"/>
  <c r="H30" i="13"/>
  <c r="G30" i="13"/>
  <c r="F30" i="13"/>
  <c r="E30" i="13"/>
  <c r="D30" i="13"/>
  <c r="C30" i="13"/>
  <c r="B30" i="13"/>
  <c r="K27" i="13"/>
  <c r="J27" i="13"/>
  <c r="I27" i="13"/>
  <c r="H27" i="13"/>
  <c r="G27" i="13"/>
  <c r="F27" i="13"/>
  <c r="E27" i="13"/>
  <c r="D27" i="13"/>
  <c r="C27" i="13"/>
  <c r="B27" i="13"/>
  <c r="K24" i="13"/>
  <c r="J24" i="13"/>
  <c r="I24" i="13"/>
  <c r="H24" i="13"/>
  <c r="G24" i="13"/>
  <c r="F24" i="13"/>
  <c r="E24" i="13"/>
  <c r="D24" i="13"/>
  <c r="C24" i="13"/>
  <c r="B24" i="13"/>
  <c r="K23" i="13"/>
  <c r="J23" i="13"/>
  <c r="I23" i="13"/>
  <c r="H23" i="13"/>
  <c r="G23" i="13"/>
  <c r="F23" i="13"/>
  <c r="E23" i="13"/>
  <c r="D23" i="13"/>
  <c r="C23" i="13"/>
  <c r="B23" i="13"/>
  <c r="K22" i="13"/>
  <c r="J22" i="13"/>
  <c r="I22" i="13"/>
  <c r="H22" i="13"/>
  <c r="G22" i="13"/>
  <c r="F22" i="13"/>
  <c r="E22" i="13"/>
  <c r="D22" i="13"/>
  <c r="C22" i="13"/>
  <c r="B22" i="13"/>
  <c r="K21" i="13"/>
  <c r="J21" i="13"/>
  <c r="I21" i="13"/>
  <c r="H21" i="13"/>
  <c r="G21" i="13"/>
  <c r="F21" i="13"/>
  <c r="E21" i="13"/>
  <c r="D21" i="13"/>
  <c r="C21" i="13"/>
  <c r="B21" i="13"/>
  <c r="K20" i="13"/>
  <c r="J20" i="13"/>
  <c r="I20" i="13"/>
  <c r="H20" i="13"/>
  <c r="G20" i="13"/>
  <c r="F20" i="13"/>
  <c r="E20" i="13"/>
  <c r="D20" i="13"/>
  <c r="C20" i="13"/>
  <c r="B20" i="13"/>
  <c r="K19" i="13"/>
  <c r="J19" i="13"/>
  <c r="I19" i="13"/>
  <c r="H19" i="13"/>
  <c r="G19" i="13"/>
  <c r="F19" i="13"/>
  <c r="E19" i="13"/>
  <c r="D19" i="13"/>
  <c r="C19" i="13"/>
  <c r="B19" i="13"/>
  <c r="K18" i="13"/>
  <c r="J18" i="13"/>
  <c r="I18" i="13"/>
  <c r="H18" i="13"/>
  <c r="G18" i="13"/>
  <c r="F18" i="13"/>
  <c r="E18" i="13"/>
  <c r="D18" i="13"/>
  <c r="C18" i="13"/>
  <c r="B18" i="13"/>
  <c r="K17" i="13"/>
  <c r="J17" i="13"/>
  <c r="I17" i="13"/>
  <c r="H17" i="13"/>
  <c r="G17" i="13"/>
  <c r="F17" i="13"/>
  <c r="E17" i="13"/>
  <c r="D17" i="13"/>
  <c r="C17" i="13"/>
  <c r="B17" i="13"/>
  <c r="K16" i="13"/>
  <c r="J16" i="13"/>
  <c r="I16" i="13"/>
  <c r="H16" i="13"/>
  <c r="G16" i="13"/>
  <c r="F16" i="13"/>
  <c r="E16" i="13"/>
  <c r="D16" i="13"/>
  <c r="C16" i="13"/>
  <c r="B16" i="13"/>
  <c r="K13" i="13"/>
  <c r="J13" i="13"/>
  <c r="I13" i="13"/>
  <c r="H13" i="13"/>
  <c r="G13" i="13"/>
  <c r="F13" i="13"/>
  <c r="E13" i="13"/>
  <c r="D13" i="13"/>
  <c r="C13" i="13"/>
  <c r="B13" i="13"/>
  <c r="K12" i="13"/>
  <c r="J12" i="13"/>
  <c r="I12" i="13"/>
  <c r="H12" i="13"/>
  <c r="G12" i="13"/>
  <c r="F12" i="13"/>
  <c r="E12" i="13"/>
  <c r="D12" i="13"/>
  <c r="C12" i="13"/>
  <c r="B12" i="13"/>
  <c r="K11" i="13"/>
  <c r="J11" i="13"/>
  <c r="I11" i="13"/>
  <c r="H11" i="13"/>
  <c r="G11" i="13"/>
  <c r="F11" i="13"/>
  <c r="E11" i="13"/>
  <c r="D11" i="13"/>
  <c r="C11" i="13"/>
  <c r="B11" i="13"/>
  <c r="K10" i="13"/>
  <c r="J10" i="13"/>
  <c r="I10" i="13"/>
  <c r="H10" i="13"/>
  <c r="G10" i="13"/>
  <c r="F10" i="13"/>
  <c r="E10" i="13"/>
  <c r="D10" i="13"/>
  <c r="C10" i="13"/>
  <c r="B10" i="13"/>
  <c r="K9" i="13"/>
  <c r="J9" i="13"/>
  <c r="I9" i="13"/>
  <c r="H9" i="13"/>
  <c r="G9" i="13"/>
  <c r="F9" i="13"/>
  <c r="E9" i="13"/>
  <c r="D9" i="13"/>
  <c r="C9" i="13"/>
  <c r="B9" i="13"/>
  <c r="K8" i="13"/>
  <c r="J8" i="13"/>
  <c r="I8" i="13"/>
  <c r="H8" i="13"/>
  <c r="G8" i="13"/>
  <c r="F8" i="13"/>
  <c r="E8" i="13"/>
  <c r="D8" i="13"/>
  <c r="C8" i="13"/>
  <c r="B8" i="13"/>
  <c r="K7" i="13"/>
  <c r="J7" i="13"/>
  <c r="I7" i="13"/>
  <c r="H7" i="13"/>
  <c r="G7" i="13"/>
  <c r="F7" i="13"/>
  <c r="E7" i="13"/>
  <c r="D7" i="13"/>
  <c r="C7" i="13"/>
  <c r="B7" i="13"/>
  <c r="K6" i="13"/>
  <c r="J6" i="13"/>
  <c r="I6" i="13"/>
  <c r="H6" i="13"/>
  <c r="G6" i="13"/>
  <c r="F6" i="13"/>
  <c r="E6" i="13"/>
  <c r="D6" i="13"/>
  <c r="C6" i="13"/>
  <c r="B6" i="13"/>
  <c r="K5" i="13"/>
  <c r="J5" i="13"/>
  <c r="I5" i="13"/>
  <c r="H5" i="13"/>
  <c r="G5" i="13"/>
  <c r="F5" i="13"/>
  <c r="E5" i="13"/>
  <c r="D5" i="13"/>
  <c r="C5" i="13"/>
  <c r="B5" i="13"/>
  <c r="K4" i="13"/>
  <c r="J4" i="13"/>
  <c r="I4" i="13"/>
  <c r="H4" i="13"/>
  <c r="G4" i="13"/>
  <c r="F4" i="13"/>
  <c r="E4" i="13"/>
  <c r="D4" i="13"/>
  <c r="C4" i="13"/>
  <c r="B4" i="13"/>
  <c r="H44" i="11"/>
  <c r="G44" i="11"/>
  <c r="F44" i="11"/>
  <c r="E44" i="11"/>
  <c r="D44" i="11"/>
  <c r="C44" i="11"/>
  <c r="B44" i="11"/>
  <c r="H43" i="11"/>
  <c r="G43" i="11"/>
  <c r="F43" i="11"/>
  <c r="E43" i="11"/>
  <c r="D43" i="11"/>
  <c r="C43" i="11"/>
  <c r="B43" i="11"/>
  <c r="H42" i="11"/>
  <c r="G42" i="11"/>
  <c r="F42" i="11"/>
  <c r="E42" i="11"/>
  <c r="D42" i="11"/>
  <c r="C42" i="11"/>
  <c r="B42" i="11"/>
  <c r="H41" i="11"/>
  <c r="G41" i="11"/>
  <c r="F41" i="11"/>
  <c r="E41" i="11"/>
  <c r="D41" i="11"/>
  <c r="C41" i="11"/>
  <c r="B41" i="11"/>
  <c r="H40" i="11"/>
  <c r="G40" i="11"/>
  <c r="F40" i="11"/>
  <c r="E40" i="11"/>
  <c r="D40" i="11"/>
  <c r="C40" i="11"/>
  <c r="B40" i="11"/>
  <c r="H39" i="11"/>
  <c r="G39" i="11"/>
  <c r="F39" i="11"/>
  <c r="E39" i="11"/>
  <c r="D39" i="11"/>
  <c r="C39" i="11"/>
  <c r="B39" i="11"/>
  <c r="H38" i="11"/>
  <c r="G38" i="11"/>
  <c r="F38" i="11"/>
  <c r="E38" i="11"/>
  <c r="D38" i="11"/>
  <c r="C38" i="11"/>
  <c r="B38" i="11"/>
  <c r="H33" i="11"/>
  <c r="G33" i="11"/>
  <c r="F33" i="11"/>
  <c r="E33" i="11"/>
  <c r="D33" i="11"/>
  <c r="C33" i="11"/>
  <c r="B33" i="11"/>
  <c r="H32" i="11"/>
  <c r="G32" i="11"/>
  <c r="F32" i="11"/>
  <c r="E32" i="11"/>
  <c r="D32" i="11"/>
  <c r="C32" i="11"/>
  <c r="B32" i="11"/>
  <c r="H31" i="11"/>
  <c r="G31" i="11"/>
  <c r="F31" i="11"/>
  <c r="E31" i="11"/>
  <c r="D31" i="11"/>
  <c r="C31" i="11"/>
  <c r="B31" i="11"/>
  <c r="H30" i="11"/>
  <c r="G30" i="11"/>
  <c r="F30" i="11"/>
  <c r="E30" i="11"/>
  <c r="D30" i="11"/>
  <c r="C30" i="11"/>
  <c r="B30" i="11"/>
  <c r="H29" i="11"/>
  <c r="G29" i="11"/>
  <c r="F29" i="11"/>
  <c r="E29" i="11"/>
  <c r="D29" i="11"/>
  <c r="C29" i="11"/>
  <c r="B29" i="11"/>
  <c r="H28" i="11"/>
  <c r="G28" i="11"/>
  <c r="F28" i="11"/>
  <c r="E28" i="11"/>
  <c r="D28" i="11"/>
  <c r="C28" i="11"/>
  <c r="B28" i="11"/>
  <c r="H27" i="11"/>
  <c r="G27" i="11"/>
  <c r="F27" i="11"/>
  <c r="E27" i="11"/>
  <c r="D27" i="11"/>
  <c r="C27" i="11"/>
  <c r="B27" i="11"/>
  <c r="E35" i="10"/>
  <c r="E34" i="10"/>
  <c r="D35" i="10"/>
  <c r="D34" i="10"/>
  <c r="C35" i="10"/>
  <c r="C34" i="10"/>
  <c r="B35" i="10"/>
  <c r="B34" i="10"/>
  <c r="E31" i="10"/>
  <c r="E30" i="10"/>
  <c r="E29" i="10"/>
  <c r="E28" i="10"/>
  <c r="E27" i="10"/>
  <c r="E26" i="10"/>
  <c r="E25" i="10"/>
  <c r="E24" i="10"/>
  <c r="E23" i="10"/>
  <c r="E22" i="10"/>
  <c r="E21" i="10"/>
  <c r="D31" i="10"/>
  <c r="D30" i="10"/>
  <c r="D29" i="10"/>
  <c r="D28" i="10"/>
  <c r="D27" i="10"/>
  <c r="D26" i="10"/>
  <c r="D25" i="10"/>
  <c r="D24" i="10"/>
  <c r="D23" i="10"/>
  <c r="D22" i="10"/>
  <c r="D21" i="10"/>
  <c r="C31" i="10"/>
  <c r="C30" i="10"/>
  <c r="C29" i="10"/>
  <c r="C28" i="10"/>
  <c r="C27" i="10"/>
  <c r="C26" i="10"/>
  <c r="C25" i="10"/>
  <c r="C24" i="10"/>
  <c r="C23" i="10"/>
  <c r="C22" i="10"/>
  <c r="C21" i="10"/>
  <c r="B29" i="10"/>
  <c r="B28" i="10"/>
  <c r="B27" i="10"/>
  <c r="B26" i="10"/>
  <c r="B25" i="10"/>
  <c r="B24" i="10"/>
  <c r="B23" i="10"/>
  <c r="B22" i="10"/>
  <c r="B21" i="10"/>
  <c r="B43" i="9"/>
  <c r="B44" i="9"/>
  <c r="G35" i="9"/>
  <c r="F35" i="9"/>
  <c r="E35" i="9"/>
  <c r="D35" i="9"/>
  <c r="C35" i="9"/>
  <c r="C28" i="9"/>
  <c r="C29" i="9" s="1"/>
  <c r="C23" i="9"/>
  <c r="B12" i="9"/>
  <c r="B6" i="9"/>
  <c r="B5" i="9"/>
  <c r="B41" i="8"/>
  <c r="B36" i="8"/>
  <c r="B35" i="8"/>
  <c r="B34" i="8"/>
  <c r="B33" i="8"/>
  <c r="K22" i="8"/>
  <c r="J22" i="8"/>
  <c r="I22" i="8"/>
  <c r="H22" i="8"/>
  <c r="G22" i="8"/>
  <c r="F22" i="8"/>
  <c r="E22" i="8"/>
  <c r="D22" i="8"/>
  <c r="C22" i="8"/>
  <c r="B22" i="8"/>
  <c r="K17" i="8"/>
  <c r="K16" i="8"/>
  <c r="K15" i="8"/>
  <c r="K13" i="8"/>
  <c r="K12" i="8"/>
  <c r="K11" i="8"/>
  <c r="J17" i="8"/>
  <c r="J16" i="8"/>
  <c r="J15" i="8"/>
  <c r="J13" i="8"/>
  <c r="J12" i="8"/>
  <c r="J11" i="8"/>
  <c r="I17" i="8"/>
  <c r="I16" i="8"/>
  <c r="I15" i="8"/>
  <c r="I13" i="8"/>
  <c r="I12" i="8"/>
  <c r="I11" i="8"/>
  <c r="H17" i="8"/>
  <c r="H16" i="8"/>
  <c r="H15" i="8"/>
  <c r="H13" i="8"/>
  <c r="H12" i="8"/>
  <c r="H11" i="8"/>
  <c r="G17" i="8"/>
  <c r="G16" i="8"/>
  <c r="G15" i="8"/>
  <c r="G13" i="8"/>
  <c r="G12" i="8"/>
  <c r="G11" i="8"/>
  <c r="F17" i="8"/>
  <c r="F16" i="8"/>
  <c r="F15" i="8"/>
  <c r="F13" i="8"/>
  <c r="F12" i="8"/>
  <c r="F11" i="8"/>
  <c r="E17" i="8"/>
  <c r="E16" i="8"/>
  <c r="E15" i="8"/>
  <c r="E13" i="8"/>
  <c r="E12" i="8"/>
  <c r="E11" i="8"/>
  <c r="D17" i="8"/>
  <c r="D16" i="8"/>
  <c r="D15" i="8"/>
  <c r="D13" i="8"/>
  <c r="D12" i="8"/>
  <c r="D11" i="8"/>
  <c r="C17" i="8"/>
  <c r="C16" i="8"/>
  <c r="C15" i="8"/>
  <c r="C13" i="8"/>
  <c r="C12" i="8"/>
  <c r="C11" i="8"/>
  <c r="B17" i="8"/>
  <c r="B16" i="8"/>
  <c r="B15" i="8"/>
  <c r="B13" i="8"/>
  <c r="B12" i="8"/>
  <c r="B11" i="8"/>
  <c r="B8" i="8"/>
  <c r="B7" i="8"/>
  <c r="B6" i="8"/>
  <c r="B5" i="8"/>
  <c r="K44" i="7"/>
  <c r="K43" i="7"/>
  <c r="K42" i="7"/>
  <c r="K41" i="7"/>
  <c r="K40" i="7"/>
  <c r="K39" i="7"/>
  <c r="K38" i="7"/>
  <c r="K37" i="7"/>
  <c r="K36" i="7"/>
  <c r="J44" i="7"/>
  <c r="J43" i="7"/>
  <c r="J42" i="7"/>
  <c r="J41" i="7"/>
  <c r="J40" i="7"/>
  <c r="J39" i="7"/>
  <c r="J38" i="7"/>
  <c r="J37" i="7"/>
  <c r="J36" i="7"/>
  <c r="I44" i="7"/>
  <c r="I43" i="7"/>
  <c r="I42" i="7"/>
  <c r="I41" i="7"/>
  <c r="I40" i="7"/>
  <c r="I39" i="7"/>
  <c r="I38" i="7"/>
  <c r="I37" i="7"/>
  <c r="I36" i="7"/>
  <c r="H44" i="7"/>
  <c r="H43" i="7"/>
  <c r="H42" i="7"/>
  <c r="H41" i="7"/>
  <c r="H40" i="7"/>
  <c r="H39" i="7"/>
  <c r="H38" i="7"/>
  <c r="H37" i="7"/>
  <c r="H36" i="7"/>
  <c r="G44" i="7"/>
  <c r="G43" i="7"/>
  <c r="G42" i="7"/>
  <c r="G41" i="7"/>
  <c r="G40" i="7"/>
  <c r="G39" i="7"/>
  <c r="G38" i="7"/>
  <c r="G37" i="7"/>
  <c r="G36" i="7"/>
  <c r="F44" i="7"/>
  <c r="F43" i="7"/>
  <c r="F42" i="7"/>
  <c r="F41" i="7"/>
  <c r="F40" i="7"/>
  <c r="F39" i="7"/>
  <c r="F38" i="7"/>
  <c r="F37" i="7"/>
  <c r="F36" i="7"/>
  <c r="E44" i="7"/>
  <c r="E43" i="7"/>
  <c r="E42" i="7"/>
  <c r="E41" i="7"/>
  <c r="E40" i="7"/>
  <c r="E39" i="7"/>
  <c r="E38" i="7"/>
  <c r="E37" i="7"/>
  <c r="E36" i="7"/>
  <c r="D44" i="7"/>
  <c r="D43" i="7"/>
  <c r="D42" i="7"/>
  <c r="D41" i="7"/>
  <c r="D40" i="7"/>
  <c r="D39" i="7"/>
  <c r="D38" i="7"/>
  <c r="D37" i="7"/>
  <c r="D36" i="7"/>
  <c r="C44" i="7"/>
  <c r="C43" i="7"/>
  <c r="C42" i="7"/>
  <c r="C41" i="7"/>
  <c r="C40" i="7"/>
  <c r="C39" i="7"/>
  <c r="C38" i="7"/>
  <c r="C37" i="7"/>
  <c r="C36" i="7"/>
  <c r="B44" i="7"/>
  <c r="B43" i="7"/>
  <c r="B42" i="7"/>
  <c r="B41" i="7"/>
  <c r="B40" i="7"/>
  <c r="B39" i="7"/>
  <c r="B38" i="7"/>
  <c r="B37" i="7"/>
  <c r="B36" i="7"/>
  <c r="K33" i="7"/>
  <c r="K32" i="7"/>
  <c r="K31" i="7"/>
  <c r="K30" i="7"/>
  <c r="K29" i="7"/>
  <c r="K28" i="7"/>
  <c r="J33" i="7"/>
  <c r="J32" i="7"/>
  <c r="J31" i="7"/>
  <c r="J30" i="7"/>
  <c r="J29" i="7"/>
  <c r="J28" i="7"/>
  <c r="I33" i="7"/>
  <c r="I32" i="7"/>
  <c r="I31" i="7"/>
  <c r="I30" i="7"/>
  <c r="I29" i="7"/>
  <c r="I28" i="7"/>
  <c r="H33" i="7"/>
  <c r="H32" i="7"/>
  <c r="H31" i="7"/>
  <c r="H30" i="7"/>
  <c r="H29" i="7"/>
  <c r="H28" i="7"/>
  <c r="G33" i="7"/>
  <c r="G32" i="7"/>
  <c r="G31" i="7"/>
  <c r="G30" i="7"/>
  <c r="G29" i="7"/>
  <c r="G28" i="7"/>
  <c r="F33" i="7"/>
  <c r="F32" i="7"/>
  <c r="F31" i="7"/>
  <c r="F30" i="7"/>
  <c r="F29" i="7"/>
  <c r="F28" i="7"/>
  <c r="E33" i="7"/>
  <c r="E32" i="7"/>
  <c r="E31" i="7"/>
  <c r="E30" i="7"/>
  <c r="E29" i="7"/>
  <c r="E28" i="7"/>
  <c r="D33" i="7"/>
  <c r="D32" i="7"/>
  <c r="D31" i="7"/>
  <c r="D30" i="7"/>
  <c r="D29" i="7"/>
  <c r="D28" i="7"/>
  <c r="C33" i="7"/>
  <c r="C32" i="7"/>
  <c r="C31" i="7"/>
  <c r="C30" i="7"/>
  <c r="C29" i="7"/>
  <c r="C28" i="7"/>
  <c r="B33" i="7"/>
  <c r="B32" i="7"/>
  <c r="B31" i="7"/>
  <c r="B30" i="7"/>
  <c r="B29" i="7"/>
  <c r="B28" i="7"/>
  <c r="K25" i="7"/>
  <c r="K24" i="7"/>
  <c r="K23" i="7"/>
  <c r="K22" i="7"/>
  <c r="K21" i="7"/>
  <c r="K20" i="7"/>
  <c r="K19" i="7"/>
  <c r="J25" i="7"/>
  <c r="J24" i="7"/>
  <c r="J23" i="7"/>
  <c r="J22" i="7"/>
  <c r="J21" i="7"/>
  <c r="J20" i="7"/>
  <c r="J19" i="7"/>
  <c r="I25" i="7"/>
  <c r="I24" i="7"/>
  <c r="I23" i="7"/>
  <c r="I22" i="7"/>
  <c r="I21" i="7"/>
  <c r="I20" i="7"/>
  <c r="I19" i="7"/>
  <c r="H25" i="7"/>
  <c r="H24" i="7"/>
  <c r="H23" i="7"/>
  <c r="H22" i="7"/>
  <c r="H21" i="7"/>
  <c r="H20" i="7"/>
  <c r="H19" i="7"/>
  <c r="G25" i="7"/>
  <c r="G24" i="7"/>
  <c r="G23" i="7"/>
  <c r="G22" i="7"/>
  <c r="G21" i="7"/>
  <c r="G20" i="7"/>
  <c r="G19" i="7"/>
  <c r="F25" i="7"/>
  <c r="F24" i="7"/>
  <c r="F23" i="7"/>
  <c r="F22" i="7"/>
  <c r="F21" i="7"/>
  <c r="F20" i="7"/>
  <c r="F19" i="7"/>
  <c r="E25" i="7"/>
  <c r="E24" i="7"/>
  <c r="E23" i="7"/>
  <c r="E22" i="7"/>
  <c r="E21" i="7"/>
  <c r="E20" i="7"/>
  <c r="E19" i="7"/>
  <c r="D25" i="7"/>
  <c r="D24" i="7"/>
  <c r="D23" i="7"/>
  <c r="D22" i="7"/>
  <c r="D21" i="7"/>
  <c r="D20" i="7"/>
  <c r="D19" i="7"/>
  <c r="C25" i="7"/>
  <c r="C24" i="7"/>
  <c r="C23" i="7"/>
  <c r="C22" i="7"/>
  <c r="C21" i="7"/>
  <c r="C20" i="7"/>
  <c r="C19" i="7"/>
  <c r="B25" i="7"/>
  <c r="B24" i="7"/>
  <c r="B23" i="7"/>
  <c r="B22" i="7"/>
  <c r="B21" i="7"/>
  <c r="B20" i="7"/>
  <c r="B19" i="7"/>
  <c r="K16" i="7"/>
  <c r="K15" i="7"/>
  <c r="K14" i="7"/>
  <c r="K13" i="7"/>
  <c r="K12" i="7"/>
  <c r="K11" i="7"/>
  <c r="K10" i="7"/>
  <c r="K8" i="7"/>
  <c r="K7" i="7"/>
  <c r="K6" i="7"/>
  <c r="K5" i="7"/>
  <c r="J16" i="7"/>
  <c r="J15" i="7"/>
  <c r="J14" i="7"/>
  <c r="J13" i="7"/>
  <c r="J12" i="7"/>
  <c r="J11" i="7"/>
  <c r="J10" i="7"/>
  <c r="J8" i="7"/>
  <c r="J7" i="7"/>
  <c r="J6" i="7"/>
  <c r="J5" i="7"/>
  <c r="I16" i="7"/>
  <c r="I15" i="7"/>
  <c r="I14" i="7"/>
  <c r="I13" i="7"/>
  <c r="I12" i="7"/>
  <c r="I11" i="7"/>
  <c r="I10" i="7"/>
  <c r="I8" i="7"/>
  <c r="I7" i="7"/>
  <c r="I6" i="7"/>
  <c r="I5" i="7"/>
  <c r="H16" i="7"/>
  <c r="H15" i="7"/>
  <c r="H14" i="7"/>
  <c r="H13" i="7"/>
  <c r="H12" i="7"/>
  <c r="H11" i="7"/>
  <c r="H10" i="7"/>
  <c r="H8" i="7"/>
  <c r="H7" i="7"/>
  <c r="H6" i="7"/>
  <c r="H5" i="7"/>
  <c r="G16" i="7"/>
  <c r="G15" i="7"/>
  <c r="G14" i="7"/>
  <c r="G13" i="7"/>
  <c r="G12" i="7"/>
  <c r="G11" i="7"/>
  <c r="G10" i="7"/>
  <c r="G8" i="7"/>
  <c r="G7" i="7"/>
  <c r="G6" i="7"/>
  <c r="G5" i="7"/>
  <c r="F16" i="7"/>
  <c r="F15" i="7"/>
  <c r="F14" i="7"/>
  <c r="F13" i="7"/>
  <c r="F12" i="7"/>
  <c r="F11" i="7"/>
  <c r="F10" i="7"/>
  <c r="F8" i="7"/>
  <c r="F7" i="7"/>
  <c r="F6" i="7"/>
  <c r="F5" i="7"/>
  <c r="E16" i="7"/>
  <c r="E15" i="7"/>
  <c r="E14" i="7"/>
  <c r="E13" i="7"/>
  <c r="E12" i="7"/>
  <c r="E11" i="7"/>
  <c r="E10" i="7"/>
  <c r="E8" i="7"/>
  <c r="E7" i="7"/>
  <c r="E6" i="7"/>
  <c r="E5" i="7"/>
  <c r="D16" i="7"/>
  <c r="D15" i="7"/>
  <c r="D14" i="7"/>
  <c r="D13" i="7"/>
  <c r="D12" i="7"/>
  <c r="D11" i="7"/>
  <c r="D10" i="7"/>
  <c r="D8" i="7"/>
  <c r="D7" i="7"/>
  <c r="D6" i="7"/>
  <c r="D5" i="7"/>
  <c r="C16" i="7"/>
  <c r="C15" i="7"/>
  <c r="C14" i="7"/>
  <c r="C13" i="7"/>
  <c r="C12" i="7"/>
  <c r="C11" i="7"/>
  <c r="C10" i="7"/>
  <c r="C8" i="7"/>
  <c r="C7" i="7"/>
  <c r="C6" i="7"/>
  <c r="C5" i="7"/>
  <c r="B16" i="7"/>
  <c r="B15" i="7"/>
  <c r="B14" i="7"/>
  <c r="B13" i="7"/>
  <c r="B12" i="7"/>
  <c r="B11" i="7"/>
  <c r="B10" i="7"/>
  <c r="B8" i="7"/>
  <c r="B7" i="7"/>
  <c r="B6" i="7"/>
  <c r="B5" i="7"/>
  <c r="K45" i="6"/>
  <c r="K38" i="6"/>
  <c r="J45" i="6"/>
  <c r="J38" i="6"/>
  <c r="I45" i="6"/>
  <c r="I38" i="6"/>
  <c r="H45" i="6"/>
  <c r="H38" i="6"/>
  <c r="G45" i="6"/>
  <c r="G38" i="6"/>
  <c r="F45" i="6"/>
  <c r="F38" i="6"/>
  <c r="E45" i="6"/>
  <c r="E38" i="6"/>
  <c r="D45" i="6"/>
  <c r="D38" i="6"/>
  <c r="C45" i="6"/>
  <c r="C38" i="6"/>
  <c r="B45" i="6"/>
  <c r="B38" i="6"/>
  <c r="K29" i="6"/>
  <c r="K32" i="6" s="1"/>
  <c r="K26" i="6"/>
  <c r="K25" i="6"/>
  <c r="K23" i="6"/>
  <c r="K22" i="6"/>
  <c r="K21" i="6"/>
  <c r="K19" i="6"/>
  <c r="K18" i="6"/>
  <c r="K16" i="6"/>
  <c r="K15" i="6"/>
  <c r="K14" i="6"/>
  <c r="K13" i="6"/>
  <c r="K12" i="6"/>
  <c r="K11" i="6"/>
  <c r="K9" i="6"/>
  <c r="K8" i="6"/>
  <c r="K7" i="6"/>
  <c r="K6" i="6"/>
  <c r="K5" i="6"/>
  <c r="J29" i="6"/>
  <c r="J26" i="6"/>
  <c r="J25" i="6"/>
  <c r="J23" i="6"/>
  <c r="J22" i="6"/>
  <c r="J21" i="6"/>
  <c r="J19" i="6"/>
  <c r="J18" i="6"/>
  <c r="J16" i="6"/>
  <c r="J15" i="6"/>
  <c r="J14" i="6"/>
  <c r="J13" i="6"/>
  <c r="J12" i="6"/>
  <c r="J11" i="6"/>
  <c r="J9" i="6"/>
  <c r="J8" i="6"/>
  <c r="J7" i="6"/>
  <c r="J6" i="6"/>
  <c r="J5" i="6"/>
  <c r="I32" i="6"/>
  <c r="I14" i="8" s="1"/>
  <c r="I30" i="6"/>
  <c r="I29" i="6"/>
  <c r="I26" i="6"/>
  <c r="I25" i="6"/>
  <c r="I23" i="6"/>
  <c r="I22" i="6"/>
  <c r="I21" i="6"/>
  <c r="I19" i="6"/>
  <c r="I18" i="6"/>
  <c r="I16" i="6"/>
  <c r="I15" i="6"/>
  <c r="I14" i="6"/>
  <c r="I13" i="6"/>
  <c r="I12" i="6"/>
  <c r="I11" i="6"/>
  <c r="I9" i="6"/>
  <c r="I8" i="6"/>
  <c r="I7" i="6"/>
  <c r="I6" i="6"/>
  <c r="I5" i="6"/>
  <c r="H29" i="6"/>
  <c r="H26" i="6"/>
  <c r="H25" i="6"/>
  <c r="H23" i="6"/>
  <c r="H22" i="6"/>
  <c r="H21" i="6"/>
  <c r="H19" i="6"/>
  <c r="H18" i="6"/>
  <c r="H16" i="6"/>
  <c r="H15" i="6"/>
  <c r="H14" i="6"/>
  <c r="H13" i="6"/>
  <c r="H12" i="6"/>
  <c r="H11" i="6"/>
  <c r="H9" i="6"/>
  <c r="H8" i="6"/>
  <c r="H7" i="6"/>
  <c r="H6" i="6"/>
  <c r="H5" i="6"/>
  <c r="G32" i="6"/>
  <c r="G33" i="6" s="1"/>
  <c r="G30" i="6"/>
  <c r="G29" i="6"/>
  <c r="G26" i="6"/>
  <c r="G25" i="6"/>
  <c r="G23" i="6"/>
  <c r="G22" i="6"/>
  <c r="G21" i="6"/>
  <c r="G19" i="6"/>
  <c r="G18" i="6"/>
  <c r="G16" i="6"/>
  <c r="G15" i="6"/>
  <c r="G14" i="6"/>
  <c r="G13" i="6"/>
  <c r="G12" i="6"/>
  <c r="G11" i="6"/>
  <c r="G9" i="6"/>
  <c r="G8" i="6"/>
  <c r="G7" i="6"/>
  <c r="G6" i="6"/>
  <c r="G5" i="6"/>
  <c r="F29" i="6"/>
  <c r="F30" i="6" s="1"/>
  <c r="F26" i="6"/>
  <c r="F25" i="6"/>
  <c r="F23" i="6"/>
  <c r="F22" i="6"/>
  <c r="F21" i="6"/>
  <c r="F19" i="6"/>
  <c r="F18" i="6"/>
  <c r="F16" i="6"/>
  <c r="F15" i="6"/>
  <c r="F14" i="6"/>
  <c r="F13" i="6"/>
  <c r="F12" i="6"/>
  <c r="F11" i="6"/>
  <c r="F9" i="6"/>
  <c r="F8" i="6"/>
  <c r="F7" i="6"/>
  <c r="F6" i="6"/>
  <c r="F5" i="6"/>
  <c r="E30" i="6"/>
  <c r="E29" i="6"/>
  <c r="E32" i="6" s="1"/>
  <c r="E26" i="6"/>
  <c r="E25" i="6"/>
  <c r="E23" i="6"/>
  <c r="E22" i="6"/>
  <c r="E21" i="6"/>
  <c r="E19" i="6"/>
  <c r="E18" i="6"/>
  <c r="E16" i="6"/>
  <c r="E15" i="6"/>
  <c r="E14" i="6"/>
  <c r="E13" i="6"/>
  <c r="E12" i="6"/>
  <c r="E11" i="6"/>
  <c r="E9" i="6"/>
  <c r="E8" i="6"/>
  <c r="E7" i="6"/>
  <c r="E6" i="6"/>
  <c r="E5" i="6"/>
  <c r="D29" i="6"/>
  <c r="D26" i="6"/>
  <c r="D25" i="6"/>
  <c r="D23" i="6"/>
  <c r="D22" i="6"/>
  <c r="D21" i="6"/>
  <c r="D19" i="6"/>
  <c r="D18" i="6"/>
  <c r="D16" i="6"/>
  <c r="D15" i="6"/>
  <c r="D14" i="6"/>
  <c r="D13" i="6"/>
  <c r="D12" i="6"/>
  <c r="D11" i="6"/>
  <c r="D9" i="6"/>
  <c r="D8" i="6"/>
  <c r="D7" i="6"/>
  <c r="D6" i="6"/>
  <c r="D5" i="6"/>
  <c r="C29" i="6"/>
  <c r="C26" i="6"/>
  <c r="C25" i="6"/>
  <c r="C23" i="6"/>
  <c r="C22" i="6"/>
  <c r="C21" i="6"/>
  <c r="C19" i="6"/>
  <c r="C18" i="6"/>
  <c r="C16" i="6"/>
  <c r="C15" i="6"/>
  <c r="C14" i="6"/>
  <c r="C13" i="6"/>
  <c r="C12" i="6"/>
  <c r="C11" i="6"/>
  <c r="C9" i="6"/>
  <c r="C8" i="6"/>
  <c r="C7" i="6"/>
  <c r="C6" i="6"/>
  <c r="C5" i="6"/>
  <c r="B29" i="6"/>
  <c r="B30" i="6" s="1"/>
  <c r="B26" i="6"/>
  <c r="B25" i="6"/>
  <c r="B23" i="6"/>
  <c r="B22" i="6"/>
  <c r="B21" i="6"/>
  <c r="B19" i="6"/>
  <c r="B18" i="6"/>
  <c r="B16" i="6"/>
  <c r="B15" i="6"/>
  <c r="B14" i="6"/>
  <c r="B13" i="6"/>
  <c r="B12" i="6"/>
  <c r="B11" i="6"/>
  <c r="B9" i="6"/>
  <c r="B8" i="6"/>
  <c r="B7" i="6"/>
  <c r="B6" i="6"/>
  <c r="B5" i="6"/>
  <c r="K54" i="5"/>
  <c r="K55" i="5" s="1"/>
  <c r="K59" i="5" s="1"/>
  <c r="K52" i="5"/>
  <c r="K51" i="5"/>
  <c r="K48" i="5"/>
  <c r="K47" i="5"/>
  <c r="K46" i="5"/>
  <c r="K44" i="5"/>
  <c r="K43" i="5"/>
  <c r="K42" i="5"/>
  <c r="K41" i="5"/>
  <c r="J51" i="5"/>
  <c r="J48" i="5"/>
  <c r="J47" i="5"/>
  <c r="J46" i="5"/>
  <c r="J44" i="5"/>
  <c r="J43" i="5"/>
  <c r="J42" i="5"/>
  <c r="J41" i="5"/>
  <c r="I51" i="5"/>
  <c r="I54" i="5" s="1"/>
  <c r="I48" i="5"/>
  <c r="I47" i="5"/>
  <c r="I46" i="5"/>
  <c r="I44" i="5"/>
  <c r="I43" i="5"/>
  <c r="I42" i="5"/>
  <c r="I41" i="5"/>
  <c r="H51" i="5"/>
  <c r="H48" i="5"/>
  <c r="H47" i="5"/>
  <c r="H46" i="5"/>
  <c r="H44" i="5"/>
  <c r="H43" i="5"/>
  <c r="H42" i="5"/>
  <c r="H41" i="5"/>
  <c r="G51" i="5"/>
  <c r="G48" i="5"/>
  <c r="G47" i="5"/>
  <c r="G46" i="5"/>
  <c r="G44" i="5"/>
  <c r="G43" i="5"/>
  <c r="G42" i="5"/>
  <c r="G41" i="5"/>
  <c r="F51" i="5"/>
  <c r="F48" i="5"/>
  <c r="F47" i="5"/>
  <c r="F46" i="5"/>
  <c r="F44" i="5"/>
  <c r="F43" i="5"/>
  <c r="F42" i="5"/>
  <c r="F41" i="5"/>
  <c r="E51" i="5"/>
  <c r="E52" i="5" s="1"/>
  <c r="E48" i="5"/>
  <c r="E47" i="5"/>
  <c r="E46" i="5"/>
  <c r="E44" i="5"/>
  <c r="E43" i="5"/>
  <c r="E42" i="5"/>
  <c r="E41" i="5"/>
  <c r="D51" i="5"/>
  <c r="D52" i="5" s="1"/>
  <c r="D48" i="5"/>
  <c r="D47" i="5"/>
  <c r="D46" i="5"/>
  <c r="D44" i="5"/>
  <c r="D43" i="5"/>
  <c r="D42" i="5"/>
  <c r="D41" i="5"/>
  <c r="C51" i="5"/>
  <c r="C52" i="5" s="1"/>
  <c r="C48" i="5"/>
  <c r="C47" i="5"/>
  <c r="C46" i="5"/>
  <c r="C44" i="5"/>
  <c r="C43" i="5"/>
  <c r="C42" i="5"/>
  <c r="C41" i="5"/>
  <c r="B51" i="5"/>
  <c r="B48" i="5"/>
  <c r="B47" i="5"/>
  <c r="B46" i="5"/>
  <c r="B44" i="5"/>
  <c r="B43" i="5"/>
  <c r="B42" i="5"/>
  <c r="B41" i="5"/>
  <c r="K38" i="5"/>
  <c r="K37" i="5"/>
  <c r="K36" i="5"/>
  <c r="K35" i="5"/>
  <c r="K34" i="5"/>
  <c r="K33" i="5"/>
  <c r="K32" i="5"/>
  <c r="J38" i="5"/>
  <c r="J37" i="5"/>
  <c r="J36" i="5"/>
  <c r="J35" i="5"/>
  <c r="J34" i="5"/>
  <c r="J33" i="5"/>
  <c r="J32" i="5"/>
  <c r="I38" i="5"/>
  <c r="I37" i="5"/>
  <c r="I36" i="5"/>
  <c r="I35" i="5"/>
  <c r="I34" i="5"/>
  <c r="I33" i="5"/>
  <c r="I32" i="5"/>
  <c r="H38" i="5"/>
  <c r="H37" i="5"/>
  <c r="H36" i="5"/>
  <c r="H35" i="5"/>
  <c r="H34" i="5"/>
  <c r="H33" i="5"/>
  <c r="H32" i="5"/>
  <c r="G38" i="5"/>
  <c r="G37" i="5"/>
  <c r="G36" i="5"/>
  <c r="G35" i="5"/>
  <c r="G34" i="5"/>
  <c r="G33" i="5"/>
  <c r="G32" i="5"/>
  <c r="F38" i="5"/>
  <c r="F37" i="5"/>
  <c r="F36" i="5"/>
  <c r="F35" i="5"/>
  <c r="F34" i="5"/>
  <c r="F33" i="5"/>
  <c r="F32" i="5"/>
  <c r="E38" i="5"/>
  <c r="E37" i="5"/>
  <c r="E36" i="5"/>
  <c r="E35" i="5"/>
  <c r="E34" i="5"/>
  <c r="E33" i="5"/>
  <c r="E32" i="5"/>
  <c r="D38" i="5"/>
  <c r="D37" i="5"/>
  <c r="D36" i="5"/>
  <c r="D35" i="5"/>
  <c r="D34" i="5"/>
  <c r="D33" i="5"/>
  <c r="D32" i="5"/>
  <c r="C38" i="5"/>
  <c r="C37" i="5"/>
  <c r="C36" i="5"/>
  <c r="C35" i="5"/>
  <c r="C34" i="5"/>
  <c r="C33" i="5"/>
  <c r="C32" i="5"/>
  <c r="B38" i="5"/>
  <c r="B37" i="5"/>
  <c r="B36" i="5"/>
  <c r="B35" i="5"/>
  <c r="B34" i="5"/>
  <c r="B33" i="5"/>
  <c r="B32" i="5"/>
  <c r="K29" i="5"/>
  <c r="K28" i="5"/>
  <c r="K27" i="5"/>
  <c r="K26" i="5"/>
  <c r="K25" i="5"/>
  <c r="K24" i="5"/>
  <c r="K23" i="5"/>
  <c r="J29" i="5"/>
  <c r="J28" i="5"/>
  <c r="J27" i="5"/>
  <c r="J26" i="5"/>
  <c r="J25" i="5"/>
  <c r="J24" i="5"/>
  <c r="J23" i="5"/>
  <c r="I29" i="5"/>
  <c r="I28" i="5"/>
  <c r="I27" i="5"/>
  <c r="I26" i="5"/>
  <c r="I25" i="5"/>
  <c r="I24" i="5"/>
  <c r="I23" i="5"/>
  <c r="H29" i="5"/>
  <c r="H28" i="5"/>
  <c r="H27" i="5"/>
  <c r="H26" i="5"/>
  <c r="H25" i="5"/>
  <c r="H24" i="5"/>
  <c r="H23" i="5"/>
  <c r="G29" i="5"/>
  <c r="G28" i="5"/>
  <c r="G27" i="5"/>
  <c r="G26" i="5"/>
  <c r="G25" i="5"/>
  <c r="G24" i="5"/>
  <c r="G23" i="5"/>
  <c r="F29" i="5"/>
  <c r="F28" i="5"/>
  <c r="F27" i="5"/>
  <c r="F26" i="5"/>
  <c r="F25" i="5"/>
  <c r="F24" i="5"/>
  <c r="F23" i="5"/>
  <c r="E29" i="5"/>
  <c r="E28" i="5"/>
  <c r="E27" i="5"/>
  <c r="E26" i="5"/>
  <c r="E25" i="5"/>
  <c r="E24" i="5"/>
  <c r="E23" i="5"/>
  <c r="D29" i="5"/>
  <c r="D28" i="5"/>
  <c r="D27" i="5"/>
  <c r="D26" i="5"/>
  <c r="D25" i="5"/>
  <c r="D24" i="5"/>
  <c r="D23" i="5"/>
  <c r="C29" i="5"/>
  <c r="C28" i="5"/>
  <c r="C27" i="5"/>
  <c r="C26" i="5"/>
  <c r="C25" i="5"/>
  <c r="C24" i="5"/>
  <c r="C23" i="5"/>
  <c r="B29" i="5"/>
  <c r="B28" i="5"/>
  <c r="B27" i="5"/>
  <c r="B26" i="5"/>
  <c r="B25" i="5"/>
  <c r="B24" i="5"/>
  <c r="B23" i="5"/>
  <c r="K20" i="5"/>
  <c r="K19" i="5"/>
  <c r="K18" i="5"/>
  <c r="K17" i="5"/>
  <c r="K16" i="5"/>
  <c r="K15" i="5"/>
  <c r="K14" i="5"/>
  <c r="J20" i="5"/>
  <c r="J19" i="5"/>
  <c r="J18" i="5"/>
  <c r="J17" i="5"/>
  <c r="J16" i="5"/>
  <c r="J15" i="5"/>
  <c r="J14" i="5"/>
  <c r="I20" i="5"/>
  <c r="I19" i="5"/>
  <c r="I18" i="5"/>
  <c r="I17" i="5"/>
  <c r="I16" i="5"/>
  <c r="I15" i="5"/>
  <c r="I14" i="5"/>
  <c r="H20" i="5"/>
  <c r="H19" i="5"/>
  <c r="H18" i="5"/>
  <c r="H17" i="5"/>
  <c r="H16" i="5"/>
  <c r="H15" i="5"/>
  <c r="H14" i="5"/>
  <c r="G20" i="5"/>
  <c r="G19" i="5"/>
  <c r="G18" i="5"/>
  <c r="G17" i="5"/>
  <c r="G16" i="5"/>
  <c r="G15" i="5"/>
  <c r="G14" i="5"/>
  <c r="F20" i="5"/>
  <c r="F19" i="5"/>
  <c r="F18" i="5"/>
  <c r="F17" i="5"/>
  <c r="F16" i="5"/>
  <c r="F15" i="5"/>
  <c r="F14" i="5"/>
  <c r="E20" i="5"/>
  <c r="E19" i="5"/>
  <c r="E18" i="5"/>
  <c r="E17" i="5"/>
  <c r="E16" i="5"/>
  <c r="E15" i="5"/>
  <c r="E14" i="5"/>
  <c r="D20" i="5"/>
  <c r="D19" i="5"/>
  <c r="D18" i="5"/>
  <c r="D17" i="5"/>
  <c r="D16" i="5"/>
  <c r="D15" i="5"/>
  <c r="D14" i="5"/>
  <c r="C20" i="5"/>
  <c r="C19" i="5"/>
  <c r="C18" i="5"/>
  <c r="C17" i="5"/>
  <c r="C16" i="5"/>
  <c r="C15" i="5"/>
  <c r="C14" i="5"/>
  <c r="B20" i="5"/>
  <c r="B19" i="5"/>
  <c r="B18" i="5"/>
  <c r="B17" i="5"/>
  <c r="B16" i="5"/>
  <c r="B15" i="5"/>
  <c r="B14" i="5"/>
  <c r="K11" i="5"/>
  <c r="K10" i="5"/>
  <c r="K9" i="5"/>
  <c r="K8" i="5"/>
  <c r="K7" i="5"/>
  <c r="K6" i="5"/>
  <c r="K5" i="5"/>
  <c r="J11" i="5"/>
  <c r="J10" i="5"/>
  <c r="J9" i="5"/>
  <c r="J8" i="5"/>
  <c r="J7" i="5"/>
  <c r="J6" i="5"/>
  <c r="J5" i="5"/>
  <c r="I11" i="5"/>
  <c r="I10" i="5"/>
  <c r="I9" i="5"/>
  <c r="I8" i="5"/>
  <c r="I7" i="5"/>
  <c r="I6" i="5"/>
  <c r="I5" i="5"/>
  <c r="H11" i="5"/>
  <c r="H10" i="5"/>
  <c r="H9" i="5"/>
  <c r="H8" i="5"/>
  <c r="H7" i="5"/>
  <c r="H6" i="5"/>
  <c r="H5" i="5"/>
  <c r="G11" i="5"/>
  <c r="G10" i="5"/>
  <c r="G9" i="5"/>
  <c r="G8" i="5"/>
  <c r="G7" i="5"/>
  <c r="G6" i="5"/>
  <c r="G5" i="5"/>
  <c r="F11" i="5"/>
  <c r="F10" i="5"/>
  <c r="F9" i="5"/>
  <c r="F8" i="5"/>
  <c r="F7" i="5"/>
  <c r="F6" i="5"/>
  <c r="F5" i="5"/>
  <c r="E11" i="5"/>
  <c r="E10" i="5"/>
  <c r="E9" i="5"/>
  <c r="E8" i="5"/>
  <c r="E7" i="5"/>
  <c r="E6" i="5"/>
  <c r="E5" i="5"/>
  <c r="D11" i="5"/>
  <c r="D10" i="5"/>
  <c r="D9" i="5"/>
  <c r="D8" i="5"/>
  <c r="D7" i="5"/>
  <c r="D6" i="5"/>
  <c r="D5" i="5"/>
  <c r="C11" i="5"/>
  <c r="C10" i="5"/>
  <c r="C9" i="5"/>
  <c r="C8" i="5"/>
  <c r="C7" i="5"/>
  <c r="C6" i="5"/>
  <c r="C5" i="5"/>
  <c r="B11" i="5"/>
  <c r="B10" i="5"/>
  <c r="B9" i="5"/>
  <c r="B8" i="5"/>
  <c r="B7" i="5"/>
  <c r="B6" i="5"/>
  <c r="B5" i="5"/>
  <c r="K56" i="4"/>
  <c r="K55" i="4"/>
  <c r="K54" i="4"/>
  <c r="K53" i="4"/>
  <c r="K51" i="4"/>
  <c r="K50" i="4"/>
  <c r="K49" i="4"/>
  <c r="K47" i="4"/>
  <c r="K46" i="4"/>
  <c r="K45" i="4"/>
  <c r="J56" i="4"/>
  <c r="J55" i="4"/>
  <c r="J54" i="4"/>
  <c r="J53" i="4"/>
  <c r="J51" i="4"/>
  <c r="J50" i="4"/>
  <c r="J49" i="4"/>
  <c r="J47" i="4"/>
  <c r="J46" i="4"/>
  <c r="J45" i="4"/>
  <c r="I56" i="4"/>
  <c r="I55" i="4"/>
  <c r="I54" i="4"/>
  <c r="I53" i="4"/>
  <c r="I51" i="4"/>
  <c r="I50" i="4"/>
  <c r="I49" i="4"/>
  <c r="I47" i="4"/>
  <c r="I46" i="4"/>
  <c r="I45" i="4"/>
  <c r="H56" i="4"/>
  <c r="H55" i="4"/>
  <c r="H54" i="4"/>
  <c r="H53" i="4"/>
  <c r="H51" i="4"/>
  <c r="H50" i="4"/>
  <c r="H49" i="4"/>
  <c r="H47" i="4"/>
  <c r="H46" i="4"/>
  <c r="H45" i="4"/>
  <c r="G56" i="4"/>
  <c r="G55" i="4"/>
  <c r="G54" i="4"/>
  <c r="G53" i="4"/>
  <c r="G51" i="4"/>
  <c r="G50" i="4"/>
  <c r="G49" i="4"/>
  <c r="G47" i="4"/>
  <c r="G46" i="4"/>
  <c r="G45" i="4"/>
  <c r="F56" i="4"/>
  <c r="F55" i="4"/>
  <c r="F54" i="4"/>
  <c r="F53" i="4"/>
  <c r="F51" i="4"/>
  <c r="F50" i="4"/>
  <c r="F49" i="4"/>
  <c r="F47" i="4"/>
  <c r="F46" i="4"/>
  <c r="F45" i="4"/>
  <c r="E56" i="4"/>
  <c r="E55" i="4"/>
  <c r="E54" i="4"/>
  <c r="E53" i="4"/>
  <c r="E51" i="4"/>
  <c r="E50" i="4"/>
  <c r="E49" i="4"/>
  <c r="E47" i="4"/>
  <c r="E46" i="4"/>
  <c r="E45" i="4"/>
  <c r="D56" i="4"/>
  <c r="D55" i="4"/>
  <c r="D54" i="4"/>
  <c r="D53" i="4"/>
  <c r="D51" i="4"/>
  <c r="D50" i="4"/>
  <c r="D49" i="4"/>
  <c r="D47" i="4"/>
  <c r="D46" i="4"/>
  <c r="D45" i="4"/>
  <c r="C56" i="4"/>
  <c r="C55" i="4"/>
  <c r="C54" i="4"/>
  <c r="C53" i="4"/>
  <c r="C51" i="4"/>
  <c r="C50" i="4"/>
  <c r="C49" i="4"/>
  <c r="C47" i="4"/>
  <c r="C46" i="4"/>
  <c r="C45" i="4"/>
  <c r="B56" i="4"/>
  <c r="B55" i="4"/>
  <c r="B54" i="4"/>
  <c r="B53" i="4"/>
  <c r="B51" i="4"/>
  <c r="B50" i="4"/>
  <c r="B49" i="4"/>
  <c r="B47" i="4"/>
  <c r="B46" i="4"/>
  <c r="B45" i="4"/>
  <c r="K42" i="4"/>
  <c r="K40" i="4"/>
  <c r="K39" i="4"/>
  <c r="K38" i="4"/>
  <c r="K37" i="4"/>
  <c r="K36" i="4"/>
  <c r="K35" i="4"/>
  <c r="K34" i="4"/>
  <c r="K33" i="4"/>
  <c r="K32" i="4"/>
  <c r="K31" i="4"/>
  <c r="J42" i="4"/>
  <c r="J40" i="4"/>
  <c r="J39" i="4"/>
  <c r="J38" i="4"/>
  <c r="J37" i="4"/>
  <c r="J36" i="4"/>
  <c r="J35" i="4"/>
  <c r="J34" i="4"/>
  <c r="J33" i="4"/>
  <c r="J32" i="4"/>
  <c r="J31" i="4"/>
  <c r="I42" i="4"/>
  <c r="I40" i="4"/>
  <c r="I39" i="4"/>
  <c r="I38" i="4"/>
  <c r="I37" i="4"/>
  <c r="I36" i="4"/>
  <c r="I35" i="4"/>
  <c r="I34" i="4"/>
  <c r="I33" i="4"/>
  <c r="I32" i="4"/>
  <c r="I31" i="4"/>
  <c r="H42" i="4"/>
  <c r="H40" i="4"/>
  <c r="H39" i="4"/>
  <c r="H38" i="4"/>
  <c r="H37" i="4"/>
  <c r="H36" i="4"/>
  <c r="H35" i="4"/>
  <c r="H34" i="4"/>
  <c r="H33" i="4"/>
  <c r="H32" i="4"/>
  <c r="H31" i="4"/>
  <c r="G42" i="4"/>
  <c r="G40" i="4"/>
  <c r="G39" i="4"/>
  <c r="G38" i="4"/>
  <c r="G37" i="4"/>
  <c r="G36" i="4"/>
  <c r="G35" i="4"/>
  <c r="G34" i="4"/>
  <c r="G33" i="4"/>
  <c r="G32" i="4"/>
  <c r="G31" i="4"/>
  <c r="F42" i="4"/>
  <c r="F40" i="4"/>
  <c r="F39" i="4"/>
  <c r="F38" i="4"/>
  <c r="F37" i="4"/>
  <c r="F36" i="4"/>
  <c r="F35" i="4"/>
  <c r="F34" i="4"/>
  <c r="F33" i="4"/>
  <c r="F32" i="4"/>
  <c r="F31" i="4"/>
  <c r="E42" i="4"/>
  <c r="E40" i="4"/>
  <c r="E39" i="4"/>
  <c r="E38" i="4"/>
  <c r="E37" i="4"/>
  <c r="E36" i="4"/>
  <c r="E35" i="4"/>
  <c r="E34" i="4"/>
  <c r="E33" i="4"/>
  <c r="E32" i="4"/>
  <c r="E31" i="4"/>
  <c r="D42" i="4"/>
  <c r="D40" i="4"/>
  <c r="D39" i="4"/>
  <c r="D38" i="4"/>
  <c r="D37" i="4"/>
  <c r="D36" i="4"/>
  <c r="D35" i="4"/>
  <c r="D34" i="4"/>
  <c r="D33" i="4"/>
  <c r="D32" i="4"/>
  <c r="D31" i="4"/>
  <c r="C42" i="4"/>
  <c r="C40" i="4"/>
  <c r="C39" i="4"/>
  <c r="C38" i="4"/>
  <c r="C37" i="4"/>
  <c r="C36" i="4"/>
  <c r="C35" i="4"/>
  <c r="C34" i="4"/>
  <c r="C33" i="4"/>
  <c r="C32" i="4"/>
  <c r="C31" i="4"/>
  <c r="B42" i="4"/>
  <c r="B40" i="4"/>
  <c r="B39" i="4"/>
  <c r="B38" i="4"/>
  <c r="B37" i="4"/>
  <c r="B36" i="4"/>
  <c r="B35" i="4"/>
  <c r="B34" i="4"/>
  <c r="B33" i="4"/>
  <c r="B32" i="4"/>
  <c r="B31" i="4"/>
  <c r="K28" i="4"/>
  <c r="K27" i="4"/>
  <c r="K26" i="4"/>
  <c r="K25" i="4"/>
  <c r="K24" i="4"/>
  <c r="K23" i="4"/>
  <c r="K22" i="4"/>
  <c r="K21" i="4"/>
  <c r="K20" i="4"/>
  <c r="K19" i="4"/>
  <c r="K18" i="4"/>
  <c r="K17" i="4"/>
  <c r="J28" i="4"/>
  <c r="J27" i="4"/>
  <c r="J26" i="4"/>
  <c r="J25" i="4"/>
  <c r="J24" i="4"/>
  <c r="J23" i="4"/>
  <c r="J22" i="4"/>
  <c r="J21" i="4"/>
  <c r="J20" i="4"/>
  <c r="J19" i="4"/>
  <c r="J18" i="4"/>
  <c r="J17" i="4"/>
  <c r="I28" i="4"/>
  <c r="I27" i="4"/>
  <c r="I26" i="4"/>
  <c r="I25" i="4"/>
  <c r="I24" i="4"/>
  <c r="I23" i="4"/>
  <c r="I22" i="4"/>
  <c r="I21" i="4"/>
  <c r="I20" i="4"/>
  <c r="I19" i="4"/>
  <c r="I18" i="4"/>
  <c r="I17" i="4"/>
  <c r="H28" i="4"/>
  <c r="H27" i="4"/>
  <c r="H26" i="4"/>
  <c r="H25" i="4"/>
  <c r="H24" i="4"/>
  <c r="H23" i="4"/>
  <c r="H22" i="4"/>
  <c r="H21" i="4"/>
  <c r="H20" i="4"/>
  <c r="H19" i="4"/>
  <c r="H18" i="4"/>
  <c r="H17" i="4"/>
  <c r="G28" i="4"/>
  <c r="G27" i="4"/>
  <c r="G26" i="4"/>
  <c r="G25" i="4"/>
  <c r="G24" i="4"/>
  <c r="G23" i="4"/>
  <c r="G22" i="4"/>
  <c r="G21" i="4"/>
  <c r="G20" i="4"/>
  <c r="G19" i="4"/>
  <c r="G18" i="4"/>
  <c r="G17" i="4"/>
  <c r="F28" i="4"/>
  <c r="F27" i="4"/>
  <c r="F26" i="4"/>
  <c r="F25" i="4"/>
  <c r="F24" i="4"/>
  <c r="F23" i="4"/>
  <c r="F22" i="4"/>
  <c r="F21" i="4"/>
  <c r="F20" i="4"/>
  <c r="F19" i="4"/>
  <c r="F18" i="4"/>
  <c r="F17" i="4"/>
  <c r="E28" i="4"/>
  <c r="E27" i="4"/>
  <c r="E26" i="4"/>
  <c r="E25" i="4"/>
  <c r="E24" i="4"/>
  <c r="E23" i="4"/>
  <c r="E22" i="4"/>
  <c r="E21" i="4"/>
  <c r="E20" i="4"/>
  <c r="E19" i="4"/>
  <c r="E18" i="4"/>
  <c r="E17" i="4"/>
  <c r="D28" i="4"/>
  <c r="D27" i="4"/>
  <c r="D26" i="4"/>
  <c r="D25" i="4"/>
  <c r="D24" i="4"/>
  <c r="D23" i="4"/>
  <c r="D22" i="4"/>
  <c r="D21" i="4"/>
  <c r="D20" i="4"/>
  <c r="D19" i="4"/>
  <c r="D18" i="4"/>
  <c r="D17" i="4"/>
  <c r="C28" i="4"/>
  <c r="C27" i="4"/>
  <c r="C26" i="4"/>
  <c r="C25" i="4"/>
  <c r="C24" i="4"/>
  <c r="C23" i="4"/>
  <c r="C22" i="4"/>
  <c r="C21" i="4"/>
  <c r="C20" i="4"/>
  <c r="C19" i="4"/>
  <c r="C18" i="4"/>
  <c r="C17" i="4"/>
  <c r="B28" i="4"/>
  <c r="B27" i="4"/>
  <c r="B26" i="4"/>
  <c r="B25" i="4"/>
  <c r="B24" i="4"/>
  <c r="B23" i="4"/>
  <c r="B22" i="4"/>
  <c r="B21" i="4"/>
  <c r="B20" i="4"/>
  <c r="B19" i="4"/>
  <c r="B18" i="4"/>
  <c r="B17" i="4"/>
  <c r="K13" i="4"/>
  <c r="K12" i="4"/>
  <c r="K11" i="4"/>
  <c r="K10" i="4"/>
  <c r="K9" i="4"/>
  <c r="K8" i="4"/>
  <c r="K7" i="4"/>
  <c r="K6" i="4"/>
  <c r="K5" i="4"/>
  <c r="J13" i="4"/>
  <c r="J12" i="4"/>
  <c r="J11" i="4"/>
  <c r="J10" i="4"/>
  <c r="J9" i="4"/>
  <c r="J8" i="4"/>
  <c r="J7" i="4"/>
  <c r="J6" i="4"/>
  <c r="J5" i="4"/>
  <c r="I13" i="4"/>
  <c r="I12" i="4"/>
  <c r="I11" i="4"/>
  <c r="I10" i="4"/>
  <c r="I9" i="4"/>
  <c r="I8" i="4"/>
  <c r="I7" i="4"/>
  <c r="I6" i="4"/>
  <c r="I5" i="4"/>
  <c r="H13" i="4"/>
  <c r="H12" i="4"/>
  <c r="H11" i="4"/>
  <c r="H10" i="4"/>
  <c r="H9" i="4"/>
  <c r="H8" i="4"/>
  <c r="H7" i="4"/>
  <c r="H6" i="4"/>
  <c r="H5" i="4"/>
  <c r="G13" i="4"/>
  <c r="G12" i="4"/>
  <c r="G11" i="4"/>
  <c r="G10" i="4"/>
  <c r="G9" i="4"/>
  <c r="G8" i="4"/>
  <c r="G7" i="4"/>
  <c r="G6" i="4"/>
  <c r="G5" i="4"/>
  <c r="F13" i="4"/>
  <c r="F12" i="4"/>
  <c r="F11" i="4"/>
  <c r="F10" i="4"/>
  <c r="F9" i="4"/>
  <c r="F8" i="4"/>
  <c r="F7" i="4"/>
  <c r="F6" i="4"/>
  <c r="F5" i="4"/>
  <c r="E13" i="4"/>
  <c r="E12" i="4"/>
  <c r="E11" i="4"/>
  <c r="E10" i="4"/>
  <c r="E9" i="4"/>
  <c r="E8" i="4"/>
  <c r="E7" i="4"/>
  <c r="E6" i="4"/>
  <c r="E5" i="4"/>
  <c r="D13" i="4"/>
  <c r="D12" i="4"/>
  <c r="D11" i="4"/>
  <c r="D10" i="4"/>
  <c r="D9" i="4"/>
  <c r="D8" i="4"/>
  <c r="D7" i="4"/>
  <c r="D6" i="4"/>
  <c r="D5" i="4"/>
  <c r="C13" i="4"/>
  <c r="C12" i="4"/>
  <c r="C11" i="4"/>
  <c r="C10" i="4"/>
  <c r="C9" i="4"/>
  <c r="C8" i="4"/>
  <c r="C7" i="4"/>
  <c r="C6" i="4"/>
  <c r="C5" i="4"/>
  <c r="B13" i="4"/>
  <c r="B12" i="4"/>
  <c r="B11" i="4"/>
  <c r="B10" i="4"/>
  <c r="B9" i="4"/>
  <c r="B8" i="4"/>
  <c r="B7" i="4"/>
  <c r="B6" i="4"/>
  <c r="B5" i="4"/>
  <c r="K85" i="3"/>
  <c r="K83" i="3"/>
  <c r="K82" i="3"/>
  <c r="K81" i="3"/>
  <c r="K80" i="3"/>
  <c r="K78" i="3"/>
  <c r="K77" i="3"/>
  <c r="K76" i="3"/>
  <c r="K75" i="3"/>
  <c r="K74" i="3"/>
  <c r="J85" i="3"/>
  <c r="J83" i="3"/>
  <c r="J82" i="3"/>
  <c r="J81" i="3"/>
  <c r="J80" i="3"/>
  <c r="J78" i="3"/>
  <c r="J77" i="3"/>
  <c r="J76" i="3"/>
  <c r="J75" i="3"/>
  <c r="J74" i="3"/>
  <c r="I85" i="3"/>
  <c r="I83" i="3"/>
  <c r="I82" i="3"/>
  <c r="I81" i="3"/>
  <c r="I80" i="3"/>
  <c r="I78" i="3"/>
  <c r="I77" i="3"/>
  <c r="I76" i="3"/>
  <c r="I75" i="3"/>
  <c r="I74" i="3"/>
  <c r="H85" i="3"/>
  <c r="H83" i="3"/>
  <c r="H82" i="3"/>
  <c r="H81" i="3"/>
  <c r="H80" i="3"/>
  <c r="H78" i="3"/>
  <c r="H77" i="3"/>
  <c r="H76" i="3"/>
  <c r="H75" i="3"/>
  <c r="H74" i="3"/>
  <c r="G85" i="3"/>
  <c r="G83" i="3"/>
  <c r="G82" i="3"/>
  <c r="G81" i="3"/>
  <c r="G80" i="3"/>
  <c r="G78" i="3"/>
  <c r="G77" i="3"/>
  <c r="G76" i="3"/>
  <c r="G75" i="3"/>
  <c r="G74" i="3"/>
  <c r="F85" i="3"/>
  <c r="F83" i="3"/>
  <c r="F82" i="3"/>
  <c r="F81" i="3"/>
  <c r="F80" i="3"/>
  <c r="F78" i="3"/>
  <c r="F77" i="3"/>
  <c r="F76" i="3"/>
  <c r="F75" i="3"/>
  <c r="F74" i="3"/>
  <c r="E85" i="3"/>
  <c r="E83" i="3"/>
  <c r="E82" i="3"/>
  <c r="E81" i="3"/>
  <c r="E80" i="3"/>
  <c r="E78" i="3"/>
  <c r="E77" i="3"/>
  <c r="E76" i="3"/>
  <c r="E75" i="3"/>
  <c r="E74" i="3"/>
  <c r="D85" i="3"/>
  <c r="D83" i="3"/>
  <c r="D82" i="3"/>
  <c r="D81" i="3"/>
  <c r="D80" i="3"/>
  <c r="D78" i="3"/>
  <c r="D77" i="3"/>
  <c r="D76" i="3"/>
  <c r="D75" i="3"/>
  <c r="D74" i="3"/>
  <c r="C85" i="3"/>
  <c r="C83" i="3"/>
  <c r="C82" i="3"/>
  <c r="C81" i="3"/>
  <c r="C80" i="3"/>
  <c r="C78" i="3"/>
  <c r="C77" i="3"/>
  <c r="C76" i="3"/>
  <c r="C75" i="3"/>
  <c r="C74" i="3"/>
  <c r="B83" i="3"/>
  <c r="B82" i="3"/>
  <c r="B81" i="3"/>
  <c r="B80" i="3"/>
  <c r="B78" i="3"/>
  <c r="B77" i="3"/>
  <c r="B76" i="3"/>
  <c r="B75" i="3"/>
  <c r="B74" i="3"/>
  <c r="K71" i="3"/>
  <c r="K70" i="3"/>
  <c r="K69" i="3"/>
  <c r="K68" i="3"/>
  <c r="K67" i="3"/>
  <c r="K66" i="3"/>
  <c r="K65" i="3"/>
  <c r="K64" i="3"/>
  <c r="K63" i="3"/>
  <c r="K62" i="3"/>
  <c r="K61" i="3"/>
  <c r="K60" i="3"/>
  <c r="J71" i="3"/>
  <c r="J70" i="3"/>
  <c r="J69" i="3"/>
  <c r="J68" i="3"/>
  <c r="J67" i="3"/>
  <c r="J66" i="3"/>
  <c r="J65" i="3"/>
  <c r="J64" i="3"/>
  <c r="J63" i="3"/>
  <c r="J62" i="3"/>
  <c r="J61" i="3"/>
  <c r="J60" i="3"/>
  <c r="I71" i="3"/>
  <c r="I70" i="3"/>
  <c r="I69" i="3"/>
  <c r="I68" i="3"/>
  <c r="I67" i="3"/>
  <c r="I66" i="3"/>
  <c r="I65" i="3"/>
  <c r="I64" i="3"/>
  <c r="I63" i="3"/>
  <c r="I62" i="3"/>
  <c r="I61" i="3"/>
  <c r="I60" i="3"/>
  <c r="H71" i="3"/>
  <c r="H70" i="3"/>
  <c r="H69" i="3"/>
  <c r="H68" i="3"/>
  <c r="H67" i="3"/>
  <c r="H66" i="3"/>
  <c r="H65" i="3"/>
  <c r="H64" i="3"/>
  <c r="H63" i="3"/>
  <c r="H62" i="3"/>
  <c r="H61" i="3"/>
  <c r="H60" i="3"/>
  <c r="G71" i="3"/>
  <c r="G70" i="3"/>
  <c r="G69" i="3"/>
  <c r="G68" i="3"/>
  <c r="G67" i="3"/>
  <c r="G66" i="3"/>
  <c r="G65" i="3"/>
  <c r="G64" i="3"/>
  <c r="G63" i="3"/>
  <c r="G62" i="3"/>
  <c r="G61" i="3"/>
  <c r="G60" i="3"/>
  <c r="F71" i="3"/>
  <c r="F70" i="3"/>
  <c r="F69" i="3"/>
  <c r="F68" i="3"/>
  <c r="F67" i="3"/>
  <c r="F66" i="3"/>
  <c r="F65" i="3"/>
  <c r="F64" i="3"/>
  <c r="F63" i="3"/>
  <c r="F62" i="3"/>
  <c r="F61" i="3"/>
  <c r="F60" i="3"/>
  <c r="E71" i="3"/>
  <c r="E70" i="3"/>
  <c r="E69" i="3"/>
  <c r="E68" i="3"/>
  <c r="E67" i="3"/>
  <c r="E66" i="3"/>
  <c r="E65" i="3"/>
  <c r="E64" i="3"/>
  <c r="E63" i="3"/>
  <c r="E62" i="3"/>
  <c r="E61" i="3"/>
  <c r="E60" i="3"/>
  <c r="D71" i="3"/>
  <c r="D70" i="3"/>
  <c r="D69" i="3"/>
  <c r="D68" i="3"/>
  <c r="D67" i="3"/>
  <c r="D66" i="3"/>
  <c r="D65" i="3"/>
  <c r="D64" i="3"/>
  <c r="D63" i="3"/>
  <c r="D62" i="3"/>
  <c r="D61" i="3"/>
  <c r="D60" i="3"/>
  <c r="C71" i="3"/>
  <c r="C70" i="3"/>
  <c r="C69" i="3"/>
  <c r="C68" i="3"/>
  <c r="C67" i="3"/>
  <c r="C66" i="3"/>
  <c r="C65" i="3"/>
  <c r="C64" i="3"/>
  <c r="C63" i="3"/>
  <c r="C62" i="3"/>
  <c r="C61" i="3"/>
  <c r="C60" i="3"/>
  <c r="B71" i="3"/>
  <c r="B70" i="3"/>
  <c r="B69" i="3"/>
  <c r="B68" i="3"/>
  <c r="B67" i="3"/>
  <c r="B66" i="3"/>
  <c r="B65" i="3"/>
  <c r="B64" i="3"/>
  <c r="B63" i="3"/>
  <c r="B62" i="3"/>
  <c r="B61" i="3"/>
  <c r="B60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K20" i="3"/>
  <c r="K19" i="3"/>
  <c r="K18" i="3"/>
  <c r="K16" i="3"/>
  <c r="K15" i="3"/>
  <c r="K14" i="3"/>
  <c r="K13" i="3"/>
  <c r="K12" i="3"/>
  <c r="K11" i="3"/>
  <c r="K10" i="3"/>
  <c r="K9" i="3"/>
  <c r="K8" i="3"/>
  <c r="K7" i="3"/>
  <c r="K5" i="3"/>
  <c r="J20" i="3"/>
  <c r="J19" i="3"/>
  <c r="J18" i="3"/>
  <c r="J16" i="3"/>
  <c r="J15" i="3"/>
  <c r="J14" i="3"/>
  <c r="J13" i="3"/>
  <c r="J12" i="3"/>
  <c r="J11" i="3"/>
  <c r="J10" i="3"/>
  <c r="J9" i="3"/>
  <c r="J8" i="3"/>
  <c r="J7" i="3"/>
  <c r="J5" i="3"/>
  <c r="I20" i="3"/>
  <c r="I19" i="3"/>
  <c r="I18" i="3"/>
  <c r="I16" i="3"/>
  <c r="I15" i="3"/>
  <c r="I14" i="3"/>
  <c r="I13" i="3"/>
  <c r="I12" i="3"/>
  <c r="I11" i="3"/>
  <c r="I10" i="3"/>
  <c r="I9" i="3"/>
  <c r="I8" i="3"/>
  <c r="I7" i="3"/>
  <c r="I5" i="3"/>
  <c r="H20" i="3"/>
  <c r="H19" i="3"/>
  <c r="H18" i="3"/>
  <c r="H16" i="3"/>
  <c r="H15" i="3"/>
  <c r="H14" i="3"/>
  <c r="H13" i="3"/>
  <c r="H12" i="3"/>
  <c r="H11" i="3"/>
  <c r="H10" i="3"/>
  <c r="H9" i="3"/>
  <c r="H8" i="3"/>
  <c r="H7" i="3"/>
  <c r="H5" i="3"/>
  <c r="G20" i="3"/>
  <c r="G19" i="3"/>
  <c r="G18" i="3"/>
  <c r="G16" i="3"/>
  <c r="G15" i="3"/>
  <c r="G14" i="3"/>
  <c r="G13" i="3"/>
  <c r="G12" i="3"/>
  <c r="G11" i="3"/>
  <c r="G10" i="3"/>
  <c r="G9" i="3"/>
  <c r="G8" i="3"/>
  <c r="G7" i="3"/>
  <c r="G5" i="3"/>
  <c r="F20" i="3"/>
  <c r="F19" i="3"/>
  <c r="F18" i="3"/>
  <c r="F16" i="3"/>
  <c r="F15" i="3"/>
  <c r="F14" i="3"/>
  <c r="F13" i="3"/>
  <c r="F12" i="3"/>
  <c r="F11" i="3"/>
  <c r="F10" i="3"/>
  <c r="F9" i="3"/>
  <c r="F8" i="3"/>
  <c r="F7" i="3"/>
  <c r="F5" i="3"/>
  <c r="E20" i="3"/>
  <c r="E19" i="3"/>
  <c r="E18" i="3"/>
  <c r="E16" i="3"/>
  <c r="E15" i="3"/>
  <c r="E14" i="3"/>
  <c r="E13" i="3"/>
  <c r="E12" i="3"/>
  <c r="E11" i="3"/>
  <c r="E10" i="3"/>
  <c r="E9" i="3"/>
  <c r="E8" i="3"/>
  <c r="E7" i="3"/>
  <c r="E5" i="3"/>
  <c r="D20" i="3"/>
  <c r="D19" i="3"/>
  <c r="D18" i="3"/>
  <c r="D16" i="3"/>
  <c r="D15" i="3"/>
  <c r="D14" i="3"/>
  <c r="D13" i="3"/>
  <c r="D12" i="3"/>
  <c r="D11" i="3"/>
  <c r="D10" i="3"/>
  <c r="D9" i="3"/>
  <c r="D8" i="3"/>
  <c r="D7" i="3"/>
  <c r="D5" i="3"/>
  <c r="C20" i="3"/>
  <c r="C19" i="3"/>
  <c r="C18" i="3"/>
  <c r="C16" i="3"/>
  <c r="C15" i="3"/>
  <c r="C14" i="3"/>
  <c r="C13" i="3"/>
  <c r="C12" i="3"/>
  <c r="C11" i="3"/>
  <c r="C10" i="3"/>
  <c r="C9" i="3"/>
  <c r="C8" i="3"/>
  <c r="C7" i="3"/>
  <c r="C5" i="3"/>
  <c r="B20" i="3"/>
  <c r="B19" i="3"/>
  <c r="B18" i="3"/>
  <c r="B16" i="3"/>
  <c r="B15" i="3"/>
  <c r="B14" i="3"/>
  <c r="B13" i="3"/>
  <c r="B12" i="3"/>
  <c r="B11" i="3"/>
  <c r="B10" i="3"/>
  <c r="B9" i="3"/>
  <c r="B8" i="3"/>
  <c r="B7" i="3"/>
  <c r="B5" i="3"/>
  <c r="D34" i="9" l="1"/>
  <c r="D36" i="9" s="1"/>
  <c r="D24" i="9"/>
  <c r="C24" i="9"/>
  <c r="C25" i="9" s="1"/>
  <c r="C26" i="9" s="1"/>
  <c r="C30" i="9" s="1"/>
  <c r="C32" i="9" s="1"/>
  <c r="B7" i="9"/>
  <c r="B8" i="9" s="1"/>
  <c r="K33" i="6"/>
  <c r="K14" i="8"/>
  <c r="K30" i="6"/>
  <c r="J32" i="6"/>
  <c r="J14" i="8" s="1"/>
  <c r="J30" i="6"/>
  <c r="I33" i="6"/>
  <c r="H30" i="6"/>
  <c r="H32" i="6"/>
  <c r="H14" i="8" s="1"/>
  <c r="G37" i="6"/>
  <c r="G39" i="6" s="1"/>
  <c r="G42" i="6" s="1"/>
  <c r="G47" i="6" s="1"/>
  <c r="G34" i="6"/>
  <c r="G14" i="8"/>
  <c r="F32" i="6"/>
  <c r="F14" i="8" s="1"/>
  <c r="F33" i="6"/>
  <c r="E14" i="8"/>
  <c r="E33" i="6"/>
  <c r="D32" i="6"/>
  <c r="D14" i="8" s="1"/>
  <c r="D30" i="6"/>
  <c r="C32" i="6"/>
  <c r="C14" i="8" s="1"/>
  <c r="C30" i="6"/>
  <c r="B32" i="6"/>
  <c r="B14" i="8" s="1"/>
  <c r="K25" i="13"/>
  <c r="K60" i="5"/>
  <c r="K15" i="1"/>
  <c r="J52" i="5"/>
  <c r="J54" i="5"/>
  <c r="J55" i="5" s="1"/>
  <c r="J59" i="5" s="1"/>
  <c r="I52" i="5"/>
  <c r="I55" i="5"/>
  <c r="I59" i="5" s="1"/>
  <c r="H52" i="5"/>
  <c r="H54" i="5"/>
  <c r="H55" i="5" s="1"/>
  <c r="H59" i="5" s="1"/>
  <c r="G54" i="5"/>
  <c r="G55" i="5" s="1"/>
  <c r="G59" i="5" s="1"/>
  <c r="G52" i="5"/>
  <c r="F52" i="5"/>
  <c r="F54" i="5"/>
  <c r="F55" i="5" s="1"/>
  <c r="F59" i="5" s="1"/>
  <c r="E54" i="5"/>
  <c r="E55" i="5" s="1"/>
  <c r="E59" i="5" s="1"/>
  <c r="D54" i="5"/>
  <c r="D55" i="5" s="1"/>
  <c r="D59" i="5" s="1"/>
  <c r="C54" i="5"/>
  <c r="C55" i="5"/>
  <c r="C59" i="5" s="1"/>
  <c r="B52" i="5"/>
  <c r="B54" i="5"/>
  <c r="B55" i="5" s="1"/>
  <c r="B59" i="5" s="1"/>
  <c r="D28" i="9" l="1"/>
  <c r="D23" i="9"/>
  <c r="D25" i="9" s="1"/>
  <c r="D26" i="9" s="1"/>
  <c r="C38" i="9"/>
  <c r="C39" i="9" s="1"/>
  <c r="E34" i="9"/>
  <c r="E36" i="9" s="1"/>
  <c r="E24" i="9"/>
  <c r="D29" i="9"/>
  <c r="D30" i="9" s="1"/>
  <c r="D32" i="9" s="1"/>
  <c r="B13" i="9"/>
  <c r="B16" i="9"/>
  <c r="K37" i="6"/>
  <c r="K39" i="6" s="1"/>
  <c r="K42" i="6" s="1"/>
  <c r="K47" i="6" s="1"/>
  <c r="K34" i="6"/>
  <c r="J33" i="6"/>
  <c r="I34" i="6"/>
  <c r="I37" i="6"/>
  <c r="I39" i="6" s="1"/>
  <c r="I42" i="6" s="1"/>
  <c r="I47" i="6" s="1"/>
  <c r="H33" i="6"/>
  <c r="G18" i="8"/>
  <c r="G23" i="8" s="1"/>
  <c r="G48" i="6"/>
  <c r="F37" i="6"/>
  <c r="F39" i="6" s="1"/>
  <c r="F42" i="6" s="1"/>
  <c r="F47" i="6" s="1"/>
  <c r="F34" i="6"/>
  <c r="E37" i="6"/>
  <c r="E39" i="6" s="1"/>
  <c r="E42" i="6" s="1"/>
  <c r="E47" i="6" s="1"/>
  <c r="E34" i="6"/>
  <c r="D33" i="6"/>
  <c r="C33" i="6"/>
  <c r="B33" i="6"/>
  <c r="K26" i="13"/>
  <c r="K16" i="1"/>
  <c r="J25" i="13"/>
  <c r="J60" i="5"/>
  <c r="J15" i="1"/>
  <c r="I25" i="13"/>
  <c r="I15" i="1"/>
  <c r="I60" i="5"/>
  <c r="H25" i="13"/>
  <c r="H60" i="5"/>
  <c r="H15" i="1"/>
  <c r="G15" i="1"/>
  <c r="G25" i="13"/>
  <c r="G60" i="5"/>
  <c r="F15" i="1"/>
  <c r="F60" i="5"/>
  <c r="F25" i="13"/>
  <c r="B30" i="10"/>
  <c r="E15" i="1"/>
  <c r="E25" i="13"/>
  <c r="E60" i="5"/>
  <c r="D25" i="13"/>
  <c r="D15" i="1"/>
  <c r="D60" i="5"/>
  <c r="C25" i="13"/>
  <c r="C15" i="1"/>
  <c r="C60" i="5"/>
  <c r="B60" i="5"/>
  <c r="B15" i="1"/>
  <c r="B25" i="13"/>
  <c r="F34" i="9" l="1"/>
  <c r="F36" i="9" s="1"/>
  <c r="F24" i="9"/>
  <c r="E23" i="9"/>
  <c r="E25" i="9" s="1"/>
  <c r="E26" i="9" s="1"/>
  <c r="D38" i="9"/>
  <c r="D39" i="9" s="1"/>
  <c r="E28" i="9"/>
  <c r="B17" i="9"/>
  <c r="B18" i="9" s="1"/>
  <c r="B50" i="9" s="1"/>
  <c r="B14" i="9"/>
  <c r="B29" i="9" s="1"/>
  <c r="B15" i="9"/>
  <c r="K18" i="8"/>
  <c r="K48" i="6"/>
  <c r="J37" i="6"/>
  <c r="J39" i="6" s="1"/>
  <c r="J42" i="6" s="1"/>
  <c r="J47" i="6" s="1"/>
  <c r="J34" i="6"/>
  <c r="I18" i="8"/>
  <c r="I23" i="8" s="1"/>
  <c r="I48" i="6"/>
  <c r="H37" i="6"/>
  <c r="H39" i="6" s="1"/>
  <c r="H42" i="6" s="1"/>
  <c r="H47" i="6" s="1"/>
  <c r="H34" i="6"/>
  <c r="F18" i="8"/>
  <c r="F23" i="8" s="1"/>
  <c r="F48" i="6"/>
  <c r="E18" i="8"/>
  <c r="E23" i="8" s="1"/>
  <c r="E48" i="6"/>
  <c r="D37" i="6"/>
  <c r="D39" i="6" s="1"/>
  <c r="D42" i="6" s="1"/>
  <c r="D47" i="6" s="1"/>
  <c r="D34" i="6"/>
  <c r="C34" i="6"/>
  <c r="C37" i="6"/>
  <c r="C39" i="6" s="1"/>
  <c r="C42" i="6" s="1"/>
  <c r="C47" i="6" s="1"/>
  <c r="B37" i="6"/>
  <c r="B39" i="6" s="1"/>
  <c r="B42" i="6" s="1"/>
  <c r="B47" i="6" s="1"/>
  <c r="B34" i="6"/>
  <c r="J16" i="1"/>
  <c r="J26" i="13"/>
  <c r="I26" i="13"/>
  <c r="I16" i="1"/>
  <c r="H16" i="1"/>
  <c r="H26" i="13"/>
  <c r="G16" i="1"/>
  <c r="G26" i="13"/>
  <c r="F26" i="13"/>
  <c r="F16" i="1"/>
  <c r="B31" i="10"/>
  <c r="E26" i="13"/>
  <c r="E16" i="1"/>
  <c r="D16" i="1"/>
  <c r="D26" i="13"/>
  <c r="C26" i="13"/>
  <c r="C16" i="1"/>
  <c r="B16" i="1"/>
  <c r="B26" i="13"/>
  <c r="G34" i="9" l="1"/>
  <c r="G36" i="9" s="1"/>
  <c r="G24" i="9"/>
  <c r="E29" i="9"/>
  <c r="E30" i="9" s="1"/>
  <c r="B28" i="8"/>
  <c r="B29" i="8" s="1"/>
  <c r="B30" i="8" s="1"/>
  <c r="B40" i="8" s="1"/>
  <c r="K23" i="8"/>
  <c r="J18" i="8"/>
  <c r="J23" i="8" s="1"/>
  <c r="J48" i="6"/>
  <c r="H48" i="6"/>
  <c r="H18" i="8"/>
  <c r="H23" i="8" s="1"/>
  <c r="D18" i="8"/>
  <c r="D23" i="8" s="1"/>
  <c r="D48" i="6"/>
  <c r="C18" i="8"/>
  <c r="C23" i="8" s="1"/>
  <c r="C48" i="6"/>
  <c r="B18" i="8"/>
  <c r="B23" i="8" s="1"/>
  <c r="B48" i="6"/>
  <c r="B50" i="6"/>
  <c r="C50" i="6" s="1"/>
  <c r="D50" i="6" s="1"/>
  <c r="E50" i="6" s="1"/>
  <c r="F50" i="6" s="1"/>
  <c r="G50" i="6" s="1"/>
  <c r="H50" i="6" s="1"/>
  <c r="I50" i="6" s="1"/>
  <c r="J50" i="6" s="1"/>
  <c r="K50" i="6" s="1"/>
  <c r="E32" i="9" l="1"/>
  <c r="F23" i="9" s="1"/>
  <c r="F25" i="9" s="1"/>
  <c r="F26" i="9" s="1"/>
  <c r="B25" i="8"/>
  <c r="B11" i="11" s="1"/>
  <c r="F28" i="9" l="1"/>
  <c r="E38" i="9"/>
  <c r="E39" i="9" s="1"/>
  <c r="D8" i="11"/>
  <c r="C10" i="11"/>
  <c r="D7" i="11"/>
  <c r="B9" i="11"/>
  <c r="D6" i="11"/>
  <c r="E11" i="11"/>
  <c r="E6" i="11"/>
  <c r="C9" i="11"/>
  <c r="H10" i="11"/>
  <c r="H11" i="11"/>
  <c r="H8" i="11"/>
  <c r="D9" i="11"/>
  <c r="C5" i="11"/>
  <c r="G10" i="11"/>
  <c r="C8" i="11"/>
  <c r="C11" i="11"/>
  <c r="H6" i="11"/>
  <c r="B6" i="11"/>
  <c r="H9" i="11"/>
  <c r="F9" i="11"/>
  <c r="D10" i="11"/>
  <c r="G7" i="11"/>
  <c r="F11" i="11"/>
  <c r="F6" i="11"/>
  <c r="D5" i="11"/>
  <c r="E9" i="11"/>
  <c r="B10" i="11"/>
  <c r="G11" i="11"/>
  <c r="B7" i="11"/>
  <c r="C6" i="11"/>
  <c r="E8" i="11"/>
  <c r="B5" i="11"/>
  <c r="E10" i="11"/>
  <c r="H7" i="11"/>
  <c r="F8" i="11"/>
  <c r="G6" i="11"/>
  <c r="E5" i="11"/>
  <c r="D11" i="11"/>
  <c r="G8" i="11"/>
  <c r="C7" i="11"/>
  <c r="H5" i="11"/>
  <c r="B39" i="8"/>
  <c r="B44" i="8" s="1"/>
  <c r="B20" i="1" s="1"/>
  <c r="F10" i="11"/>
  <c r="B8" i="11"/>
  <c r="G5" i="11"/>
  <c r="F5" i="11"/>
  <c r="G9" i="11"/>
  <c r="E7" i="11"/>
  <c r="F7" i="11"/>
  <c r="F29" i="9" l="1"/>
  <c r="F30" i="9" s="1"/>
  <c r="B43" i="8"/>
  <c r="B45" i="8" s="1"/>
  <c r="F32" i="9" l="1"/>
  <c r="F38" i="9" s="1"/>
  <c r="F39" i="9" s="1"/>
  <c r="B19" i="1"/>
  <c r="B41" i="13"/>
  <c r="B21" i="1"/>
  <c r="B48" i="8"/>
  <c r="B51" i="8"/>
  <c r="B49" i="8"/>
  <c r="B52" i="8"/>
  <c r="B25" i="1" s="1"/>
  <c r="B36" i="10"/>
  <c r="B50" i="8"/>
  <c r="B45" i="13" s="1"/>
  <c r="G23" i="9" l="1"/>
  <c r="G25" i="9" s="1"/>
  <c r="G26" i="9" s="1"/>
  <c r="G30" i="9" s="1"/>
  <c r="G28" i="9"/>
  <c r="G29" i="9" s="1"/>
  <c r="E36" i="10"/>
  <c r="C36" i="10"/>
  <c r="D36" i="10"/>
  <c r="B24" i="1"/>
  <c r="B44" i="13"/>
  <c r="G32" i="9" l="1"/>
  <c r="G38" i="9" s="1"/>
  <c r="E19" i="11" s="1"/>
  <c r="B45" i="9"/>
  <c r="B46" i="9" s="1"/>
  <c r="B47" i="9" s="1"/>
  <c r="B48" i="9" s="1"/>
  <c r="B51" i="9" s="1"/>
  <c r="G18" i="11"/>
  <c r="H20" i="11"/>
  <c r="G19" i="11"/>
  <c r="C22" i="11"/>
  <c r="F19" i="11"/>
  <c r="F20" i="11"/>
  <c r="B21" i="11"/>
  <c r="H19" i="11"/>
  <c r="D22" i="11"/>
  <c r="G39" i="9"/>
  <c r="D18" i="11"/>
  <c r="H17" i="11" l="1"/>
  <c r="E18" i="11"/>
  <c r="G17" i="11"/>
  <c r="C18" i="11"/>
  <c r="D16" i="11"/>
  <c r="B19" i="11"/>
  <c r="D19" i="11"/>
  <c r="E17" i="11"/>
  <c r="F18" i="11"/>
  <c r="C17" i="11"/>
  <c r="B17" i="11"/>
  <c r="F16" i="11"/>
  <c r="C20" i="11"/>
  <c r="G21" i="11"/>
  <c r="B56" i="9"/>
  <c r="B57" i="9" s="1"/>
  <c r="E21" i="11"/>
  <c r="D21" i="11"/>
  <c r="B16" i="11"/>
  <c r="F22" i="11"/>
  <c r="C16" i="11"/>
  <c r="H22" i="11"/>
  <c r="D17" i="11"/>
  <c r="H18" i="11"/>
  <c r="E20" i="11"/>
  <c r="C21" i="11"/>
  <c r="H16" i="11"/>
  <c r="H21" i="11"/>
  <c r="G16" i="11"/>
  <c r="E22" i="11"/>
  <c r="G20" i="11"/>
  <c r="F21" i="11"/>
  <c r="E16" i="11"/>
  <c r="B18" i="11"/>
  <c r="B22" i="11"/>
  <c r="D20" i="11"/>
  <c r="G22" i="11"/>
  <c r="F17" i="11"/>
  <c r="C19" i="11"/>
  <c r="B20" i="11"/>
  <c r="B54" i="9"/>
  <c r="B53" i="9"/>
  <c r="B42" i="13" l="1"/>
  <c r="B43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<sst xmlns="http://schemas.openxmlformats.org/spreadsheetml/2006/main" count="1690" uniqueCount="1085">
  <si>
    <t>PHILADELPHIA PGA SECTION — MASTER ASSUMPTIONS</t>
  </si>
  <si>
    <t>A. MARKET &amp; DEMAND ASSUMPTIONS</t>
  </si>
  <si>
    <t>Assumption</t>
  </si>
  <si>
    <t>Value</t>
  </si>
  <si>
    <t>Unit</t>
  </si>
  <si>
    <t>Notes / Source</t>
  </si>
  <si>
    <t>Total PGA Professionals in Phila Section</t>
  </si>
  <si>
    <t>#</t>
  </si>
  <si>
    <t>Per Philadelphia PGA brief</t>
  </si>
  <si>
    <t>% of Pros Addressable — Platform</t>
  </si>
  <si>
    <t>%</t>
  </si>
  <si>
    <t>Excludes retired / inactive</t>
  </si>
  <si>
    <t>% of Pros Addressable — Creator</t>
  </si>
  <si>
    <t>Top content-capable pros</t>
  </si>
  <si>
    <t>Total Golfer Population in Region</t>
  </si>
  <si>
    <t>2M+ rounds managed annually</t>
  </si>
  <si>
    <t>Beginner / Casual Golfer Population</t>
  </si>
  <si>
    <t>~25% of total golfer base</t>
  </si>
  <si>
    <t>Annual Golf Participation Growth</t>
  </si>
  <si>
    <t>National avg ~3% post-COVID</t>
  </si>
  <si>
    <t>Corporate Prospects in Phila DMA</t>
  </si>
  <si>
    <t>Finance, law, healthcare, tech</t>
  </si>
  <si>
    <t>Venue Partnership Prospects</t>
  </si>
  <si>
    <t>Topgolf + regional off-course</t>
  </si>
  <si>
    <t>Regional Golf Spending ($M)</t>
  </si>
  <si>
    <t>$M</t>
  </si>
  <si>
    <t>Per brief — $200M+</t>
  </si>
  <si>
    <t>Phila DMA Households</t>
  </si>
  <si>
    <t>Census estimate</t>
  </si>
  <si>
    <t>% HH with Golf Interest</t>
  </si>
  <si>
    <t>National avg ~7-9%</t>
  </si>
  <si>
    <t>Non-Golfers Interested Nationally</t>
  </si>
  <si>
    <t>Per NGF data</t>
  </si>
  <si>
    <t>Phila DMA Share of National Pool</t>
  </si>
  <si>
    <t>~2.5% of national pop</t>
  </si>
  <si>
    <t>B. LEARN GOLF PLATFORM ASSUMPTIONS</t>
  </si>
  <si>
    <t>Year 1 Pro Onboarding Rate</t>
  </si>
  <si>
    <t>Conservative — 15% of addressable</t>
  </si>
  <si>
    <t>Year 3 Pro Onboarding Rate</t>
  </si>
  <si>
    <t>Mid-maturity target</t>
  </si>
  <si>
    <t>Year 5 Pro Onboarding Rate</t>
  </si>
  <si>
    <t>Scale target</t>
  </si>
  <si>
    <t>Year 10 Pro Onboarding Rate</t>
  </si>
  <si>
    <t>Mature platform</t>
  </si>
  <si>
    <t>Active Pro Rate (% of onboarded)</t>
  </si>
  <si>
    <t>Pros actively taking bookings</t>
  </si>
  <si>
    <t>Lessons per Active Pro per Week</t>
  </si>
  <si>
    <t>#/wk</t>
  </si>
  <si>
    <t>Avg across all active pros</t>
  </si>
  <si>
    <t>Avg Lesson Price ($)</t>
  </si>
  <si>
    <t>$</t>
  </si>
  <si>
    <t>Phila market avg</t>
  </si>
  <si>
    <t>Annual Lesson Price Escalation</t>
  </si>
  <si>
    <t>Inflation + quality premium</t>
  </si>
  <si>
    <t>Platform Take Rate</t>
  </si>
  <si>
    <t>12% of gross lesson value</t>
  </si>
  <si>
    <t>Premium Listing Price ($/month)</t>
  </si>
  <si>
    <t>$/mo</t>
  </si>
  <si>
    <t>Enhanced profile + visibility</t>
  </si>
  <si>
    <t>% of Active Pros Buying Premium</t>
  </si>
  <si>
    <t>Year 1 estimate</t>
  </si>
  <si>
    <t>Lesson Package Attach Rate</t>
  </si>
  <si>
    <t>% of lessons as bundles</t>
  </si>
  <si>
    <t>Bundle Discount to Customer</t>
  </si>
  <si>
    <t>10% off for packages</t>
  </si>
  <si>
    <t>Bundle Uplift to Platform Rev</t>
  </si>
  <si>
    <t>Net positive from volume</t>
  </si>
  <si>
    <t>Teaching Weeks per Year</t>
  </si>
  <si>
    <t>wks</t>
  </si>
  <si>
    <t>Excludes holidays / weather</t>
  </si>
  <si>
    <t>C. CREATOR NETWORK ASSUMPTIONS</t>
  </si>
  <si>
    <t>Year 1 Creators Onboarded</t>
  </si>
  <si>
    <t>Pilot cohort of top pros</t>
  </si>
  <si>
    <t>Year 3 Creators Active</t>
  </si>
  <si>
    <t>Expanded network</t>
  </si>
  <si>
    <t>Year 5 Creators Active</t>
  </si>
  <si>
    <t>Mature creator program</t>
  </si>
  <si>
    <t>Avg Monthly Impressions per Creator</t>
  </si>
  <si>
    <t>Social media reach</t>
  </si>
  <si>
    <t>Engagement Rate</t>
  </si>
  <si>
    <t>Industry avg 3-5% for niche</t>
  </si>
  <si>
    <t>Clickthrough Rate (to website)</t>
  </si>
  <si>
    <t>Standard social CTR</t>
  </si>
  <si>
    <t>Conversion Rate — Click to Inquiry</t>
  </si>
  <si>
    <t>Landing page conversion</t>
  </si>
  <si>
    <t>Conversion Rate — Inquiry to Booking</t>
  </si>
  <si>
    <t>Sales funnel close rate</t>
  </si>
  <si>
    <t>Creator Monthly Compensation ($)</t>
  </si>
  <si>
    <t>Stipend + content support</t>
  </si>
  <si>
    <t>Content Production Support ($/creator/mo)</t>
  </si>
  <si>
    <t>Editing, assets, tools</t>
  </si>
  <si>
    <t>Platform Mgmt Cost ($/creator/mo)</t>
  </si>
  <si>
    <t>Coordination overhead</t>
  </si>
  <si>
    <t>Brand Partnership Rev per Creator ($/yr)</t>
  </si>
  <si>
    <t>Sponsorship rev share Y3+</t>
  </si>
  <si>
    <t>D. TOPGOLF / VENUE PARTNERSHIP ASSUMPTIONS</t>
  </si>
  <si>
    <t>Year 1 Venue Partners</t>
  </si>
  <si>
    <t>Topgolf KoP + Bridgewater</t>
  </si>
  <si>
    <t>Year 3 Venue Partners</t>
  </si>
  <si>
    <t>Add regional entertainment venues</t>
  </si>
  <si>
    <t>Year 5 Venue Partners</t>
  </si>
  <si>
    <t>Full regional coverage</t>
  </si>
  <si>
    <t>Annual Foot Traffic per Venue</t>
  </si>
  <si>
    <t>Topgolf avg ~500K visits/yr</t>
  </si>
  <si>
    <t>% Traffic Exposed to PGA Content</t>
  </si>
  <si>
    <t>In-venue signage / digital</t>
  </si>
  <si>
    <t>QR Scan / Digital Engagement Rate</t>
  </si>
  <si>
    <t>2% of exposed traffic</t>
  </si>
  <si>
    <t>Site Visit Rate (from scan)</t>
  </si>
  <si>
    <t>40% of scanners visit site</t>
  </si>
  <si>
    <t>Booking Conversion (from site visit)</t>
  </si>
  <si>
    <t>5% of visitors book</t>
  </si>
  <si>
    <t>Annual Partnership Fee per Venue ($)</t>
  </si>
  <si>
    <t>Co-marketing investment</t>
  </si>
  <si>
    <t>Event Revenue per Venue ($/yr)</t>
  </si>
  <si>
    <t>PGA-branded events at venue</t>
  </si>
  <si>
    <t>Co-Branded Activation Cost ($/venue/yr)</t>
  </si>
  <si>
    <t>Signage, digital, materials</t>
  </si>
  <si>
    <t>Avg Lesson Revenue per Venue Referral ($)</t>
  </si>
  <si>
    <t>Same as platform avg</t>
  </si>
  <si>
    <t>E. CORPORATE GOLF PROGRAM ASSUMPTIONS</t>
  </si>
  <si>
    <t>Year 1 Corporate Clients</t>
  </si>
  <si>
    <t>Pilot clients</t>
  </si>
  <si>
    <t>Year 3 Corporate Clients</t>
  </si>
  <si>
    <t>Growth phase</t>
  </si>
  <si>
    <t>Year 5 Corporate Clients</t>
  </si>
  <si>
    <t>Scaled program</t>
  </si>
  <si>
    <t>Year 10 Corporate Clients</t>
  </si>
  <si>
    <t>Mature state</t>
  </si>
  <si>
    <t>Events per Client per Year</t>
  </si>
  <si>
    <t>#/yr</t>
  </si>
  <si>
    <t>Quarterly engagement avg</t>
  </si>
  <si>
    <t>Avg Revenue per Event ($)</t>
  </si>
  <si>
    <t>Instruction + venue + F&amp;B</t>
  </si>
  <si>
    <t>Annual Corporate Retainer ($)</t>
  </si>
  <si>
    <t>$/yr</t>
  </si>
  <si>
    <t>Premium clients</t>
  </si>
  <si>
    <t>% of Clients on Retainer</t>
  </si>
  <si>
    <t>Top-tier engagement</t>
  </si>
  <si>
    <t>Sponsorship Revenue per Client ($/yr)</t>
  </si>
  <si>
    <t>Logo, branding, naming</t>
  </si>
  <si>
    <t>% of Clients Sponsoring</t>
  </si>
  <si>
    <t>Subset of total clients</t>
  </si>
  <si>
    <t>Client Renewal Rate</t>
  </si>
  <si>
    <t>Annual retention</t>
  </si>
  <si>
    <t>Event Delivery Cost (% of Event Rev)</t>
  </si>
  <si>
    <t>Pro fees, venue, logistics</t>
  </si>
  <si>
    <t>Corporate Sales Cycle (months)</t>
  </si>
  <si>
    <t>mo</t>
  </si>
  <si>
    <t>B2B sales timeline</t>
  </si>
  <si>
    <t>Upsell Rate (clients adding services)</t>
  </si>
  <si>
    <t>Year-over-year expansion</t>
  </si>
  <si>
    <t>F. COST STRUCTURE ASSUMPTIONS</t>
  </si>
  <si>
    <t>CEO / Executive Director (Salary + Ben)</t>
  </si>
  <si>
    <t>Full-time leadership</t>
  </si>
  <si>
    <t>VP Marketing / Growth</t>
  </si>
  <si>
    <t>Full-time hire Y1</t>
  </si>
  <si>
    <t>Partnership Sales Director</t>
  </si>
  <si>
    <t>Full-time Y1</t>
  </si>
  <si>
    <t>Content &amp; Social Media Manager</t>
  </si>
  <si>
    <t>Platform / Website Manager</t>
  </si>
  <si>
    <t>Customer Support Specialist</t>
  </si>
  <si>
    <t>Full-time Y2</t>
  </si>
  <si>
    <t>Event Coordinator</t>
  </si>
  <si>
    <t>Sales Associate (Corporate)</t>
  </si>
  <si>
    <t>Benefits Load Factor (% of salary)</t>
  </si>
  <si>
    <t>Health, 401k, payroll taxes</t>
  </si>
  <si>
    <t>Annual Salary Escalation</t>
  </si>
  <si>
    <t>Cost of living adjustments</t>
  </si>
  <si>
    <t>Software / Platform Costs ($/yr)</t>
  </si>
  <si>
    <t>Website, CRM, analytics, tools</t>
  </si>
  <si>
    <t>Hosting &amp; Maintenance ($/yr)</t>
  </si>
  <si>
    <t>Cloud hosting, SSL, CDN</t>
  </si>
  <si>
    <t>Content Production Budget ($/yr)</t>
  </si>
  <si>
    <t>Video, design, copywriting</t>
  </si>
  <si>
    <t>Marketing &amp; Paid Ads ($/yr)</t>
  </si>
  <si>
    <t>Digital ads, SEO, events</t>
  </si>
  <si>
    <t>G&amp;A / Office / Admin ($/yr)</t>
  </si>
  <si>
    <t>Office, supplies, misc</t>
  </si>
  <si>
    <t>Travel &amp; Event Costs ($/yr)</t>
  </si>
  <si>
    <t>Staff travel, event presence</t>
  </si>
  <si>
    <t>Legal / Compliance ($/yr)</t>
  </si>
  <si>
    <t>Contracts, compliance, review</t>
  </si>
  <si>
    <t>Insurance ($/yr)</t>
  </si>
  <si>
    <t>E&amp;O, general liability, cyber</t>
  </si>
  <si>
    <t>Customer Support Costs ($/yr)</t>
  </si>
  <si>
    <t>Tools, escalation handling</t>
  </si>
  <si>
    <t>G. FINANCIAL ASSUMPTIONS</t>
  </si>
  <si>
    <t>Federal + State Effective Tax Rate</t>
  </si>
  <si>
    <t>Blended effective rate</t>
  </si>
  <si>
    <t>WACC / Discount Rate</t>
  </si>
  <si>
    <t>Growth-stage appropriate</t>
  </si>
  <si>
    <t>Terminal Growth Rate</t>
  </si>
  <si>
    <t>Long-run GDP growth</t>
  </si>
  <si>
    <t>Exit EV/EBITDA Multiple</t>
  </si>
  <si>
    <t>x</t>
  </si>
  <si>
    <t>Growth-stage platform comp</t>
  </si>
  <si>
    <t>Entry EV/EBITDA Multiple (LBO)</t>
  </si>
  <si>
    <t>Sponsor entry price</t>
  </si>
  <si>
    <t>Debt / Total Capital (LBO)</t>
  </si>
  <si>
    <t>50% leverage</t>
  </si>
  <si>
    <t>Senior Debt Interest Rate</t>
  </si>
  <si>
    <t>Term loan rate</t>
  </si>
  <si>
    <t>Mezzanine Debt Interest Rate</t>
  </si>
  <si>
    <t>Subordinated debt</t>
  </si>
  <si>
    <t>Senior Debt as % of Total Debt</t>
  </si>
  <si>
    <t>70/30 Sr/Mezz split</t>
  </si>
  <si>
    <t>Annual Debt Amortization (% of Sr Debt)</t>
  </si>
  <si>
    <t>5% mandatory paydown</t>
  </si>
  <si>
    <t>Capex as % of Revenue</t>
  </si>
  <si>
    <t>Low capex — platform business</t>
  </si>
  <si>
    <t>Net Working Capital as % of Revenue</t>
  </si>
  <si>
    <t>Receivables / payables cycle</t>
  </si>
  <si>
    <t>D&amp;A as % of Revenue</t>
  </si>
  <si>
    <t>Primarily software amortization</t>
  </si>
  <si>
    <t>Transaction Fees (LBO, % of EV)</t>
  </si>
  <si>
    <t>Advisory + legal + financing</t>
  </si>
  <si>
    <t>Management Rollover (% of equity)</t>
  </si>
  <si>
    <t>Mgmt co-invest at entry</t>
  </si>
  <si>
    <t>H. MARGIN &amp; UNIT ECONOMIC ASSUMPTIONS</t>
  </si>
  <si>
    <t>Learn Golf Platform — Target Gross Margin</t>
  </si>
  <si>
    <t>High margin — low COGS</t>
  </si>
  <si>
    <t>Creator Network — Target Gross Margin</t>
  </si>
  <si>
    <t>Creator fees are direct cost</t>
  </si>
  <si>
    <t>Venue Partnerships — Target Gross Margin</t>
  </si>
  <si>
    <t>Activation + venue costs</t>
  </si>
  <si>
    <t>Corporate Programs — Target Gross Margin</t>
  </si>
  <si>
    <t>Event delivery intensive</t>
  </si>
  <si>
    <t>Blended EBITDA Margin Target (Y5)</t>
  </si>
  <si>
    <t>Operating leverage at scale</t>
  </si>
  <si>
    <t>Blended EBITDA Margin Target (Y10)</t>
  </si>
  <si>
    <t>Mature state target</t>
  </si>
  <si>
    <t>Target CAC — Platform Organic ($)</t>
  </si>
  <si>
    <t>SEO, content, referral</t>
  </si>
  <si>
    <t>Target CAC — Creator Channel ($)</t>
  </si>
  <si>
    <t>Creator-driven acquisition</t>
  </si>
  <si>
    <t>Target CAC — Venue Channel ($)</t>
  </si>
  <si>
    <t>Venue-driven referral</t>
  </si>
  <si>
    <t>Target CAC — Corporate ($)</t>
  </si>
  <si>
    <t>B2B sales cycle cost</t>
  </si>
  <si>
    <t>Consumer LTV ($)</t>
  </si>
  <si>
    <t>3-yr value of lesson buyer</t>
  </si>
  <si>
    <t>Corporate Client LTV ($)</t>
  </si>
  <si>
    <t>Multi-year engagement</t>
  </si>
  <si>
    <t>Target Payback Period (months)</t>
  </si>
  <si>
    <t>CAC recovery target</t>
  </si>
  <si>
    <t>Consumer Annual Churn Rate</t>
  </si>
  <si>
    <t>Lesson buyer retention</t>
  </si>
  <si>
    <t>Corporate Client Annual Churn</t>
  </si>
  <si>
    <t>Client renewal inverse</t>
  </si>
  <si>
    <t>Max Payback Period Threshold (months)</t>
  </si>
  <si>
    <t>Kill threshold</t>
  </si>
  <si>
    <t>Min Gross Margin Threshold</t>
  </si>
  <si>
    <t>Below = restructure</t>
  </si>
  <si>
    <t>Min Contribution Margin Threshold</t>
  </si>
  <si>
    <t>Below = exit channel</t>
  </si>
  <si>
    <t>IRR Hurdle for Expansion</t>
  </si>
  <si>
    <t>Min return for new initiatives</t>
  </si>
  <si>
    <t>REVENUE BUILD BY SEGMENT — 10 YEAR FORECAST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</si>
  <si>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</si>
  <si>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</si>
  <si>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</si>
  <si>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</si>
  <si>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</si>
  <si>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</si>
  <si>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</si>
  <si>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</si>
  <si>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</si>
  <si>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</si>
  <si>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A. LEARN GOLF PLATFORM</t>
  </si>
  <si>
    <t>Total Addressable Pros</t>
  </si>
  <si>
    <t>Pro Onboarding Rate</t>
  </si>
  <si>
    <t>Onboarded Pros</t>
  </si>
  <si>
    <t>Active Pro Rate</t>
  </si>
  <si>
    <t>Active Pros</t>
  </si>
  <si>
    <t>Lessons per Pro per Week</t>
  </si>
  <si>
    <t>Total Annual Lessons</t>
  </si>
  <si>
    <t>Gross Marketplace Volume ($)</t>
  </si>
  <si>
    <t>Transaction Revenue ($)</t>
  </si>
  <si>
    <t>Active Pros on Premium</t>
  </si>
  <si>
    <t>Premium Listing Revenue ($)</t>
  </si>
  <si>
    <t>Bundle Attach Uplift ($)</t>
  </si>
  <si>
    <t>TOTAL PLATFORM REVENUE ($)</t>
  </si>
  <si>
    <t>B. CREATOR / INFLUENCER NETWORK</t>
  </si>
  <si>
    <t>Active Creators</t>
  </si>
  <si>
    <t>Total Monthly Impressions</t>
  </si>
  <si>
    <t>Engaged Users / Month</t>
  </si>
  <si>
    <t>Clickthrough Rate</t>
  </si>
  <si>
    <t>Monthly Clicks to Website</t>
  </si>
  <si>
    <t>Inquiry Conversion Rate</t>
  </si>
  <si>
    <t>Monthly Inquiries</t>
  </si>
  <si>
    <t>Booking Conversion Rate</t>
  </si>
  <si>
    <t>Monthly Bookings from Creators</t>
  </si>
  <si>
    <t>Annual Bookings from Creators</t>
  </si>
  <si>
    <t>Avg Lesson Revenue per Booking ($)</t>
  </si>
  <si>
    <t>Platform Rev from Creator Bookings ($)</t>
  </si>
  <si>
    <t>Brand Partnership Rev ($)</t>
  </si>
  <si>
    <t>TOTAL CREATOR NETWORK REVENUE ($)</t>
  </si>
  <si>
    <t>C. TOPGOLF / VENUE PARTNERSHIPS</t>
  </si>
  <si>
    <t>Active Venue Partners</t>
  </si>
  <si>
    <t>Avg Annual Foot Traffic per Venue</t>
  </si>
  <si>
    <t>Total Venue Traffic</t>
  </si>
  <si>
    <t>% Exposed to PGA Content</t>
  </si>
  <si>
    <t>Exposed Users</t>
  </si>
  <si>
    <t>QR Scan / Engagement Rate</t>
  </si>
  <si>
    <t>Scans / Engagements</t>
  </si>
  <si>
    <t>Site Visits from Venues</t>
  </si>
  <si>
    <t>Annual Bookings from Venues</t>
  </si>
  <si>
    <t>Avg Lesson Rev per Booking ($)</t>
  </si>
  <si>
    <t>Platform Rev from Venue Bookings ($)</t>
  </si>
  <si>
    <t>Partnership Fee Revenue ($)</t>
  </si>
  <si>
    <t>Event Revenue at Venues ($)</t>
  </si>
  <si>
    <t>TOTAL VENUE PARTNERSHIP REVENUE ($)</t>
  </si>
  <si>
    <t>D. CORPORATE GOLF PROGRAMS</t>
  </si>
  <si>
    <t>Active Corporate Clients</t>
  </si>
  <si>
    <t>Total Annual Events</t>
  </si>
  <si>
    <t>Total Event Revenue ($)</t>
  </si>
  <si>
    <t>% Clients on Retainer</t>
  </si>
  <si>
    <t>Retainer Clients</t>
  </si>
  <si>
    <t>Annual Retainer Revenue ($)</t>
  </si>
  <si>
    <t>% Clients Sponsoring</t>
  </si>
  <si>
    <t>Sponsoring Clients</t>
  </si>
  <si>
    <t>Sponsorship Revenue ($)</t>
  </si>
  <si>
    <t>Upsell Revenue (25% of event rev, Y2+) ($)</t>
  </si>
  <si>
    <t>TOTAL CORPORATE REVENUE ($)</t>
  </si>
  <si>
    <t>CONSOLIDATED REVENUE SUMMARY</t>
  </si>
  <si>
    <t>Learn Golf Platform Revenue</t>
  </si>
  <si>
    <t>Creator Network Revenue</t>
  </si>
  <si>
    <t>Venue Partnership Revenue</t>
  </si>
  <si>
    <t>Corporate Program Revenue</t>
  </si>
  <si>
    <t>TOTAL REVENUE</t>
  </si>
  <si>
    <t>Revenue Mix — Platform</t>
  </si>
  <si>
    <t>Revenue Mix — Creator</t>
  </si>
  <si>
    <t>Revenue Mix — Venue</t>
  </si>
  <si>
    <t>Revenue Mix — Corporate</t>
  </si>
  <si>
    <t>YoY Revenue Growth</t>
  </si>
  <si>
    <t>N/A</t>
  </si>
  <si>
    <t>OPERATING COST BUILD — 10 YEAR FORECAST</t>
  </si>
  <si>
    <t>1. COST OF REVENUE / DIRECT COSTS</t>
  </si>
  <si>
    <t>Platform Transaction Processing (3% of GMV)</t>
  </si>
  <si>
    <t>Creator Compensation</t>
  </si>
  <si>
    <t>Creator Content Production Support</t>
  </si>
  <si>
    <t>Creator Platform Management</t>
  </si>
  <si>
    <t>Venue Activation Costs</t>
  </si>
  <si>
    <t>Corporate Event Delivery (55% of event rev)</t>
  </si>
  <si>
    <t>Direct Sales Commissions (5% of corp rev)</t>
  </si>
  <si>
    <t>Customer Service (volume-driven)</t>
  </si>
  <si>
    <t>TOTAL DIRECT COSTS</t>
  </si>
  <si>
    <t>2. OPERATING EXPENSES (FIXED + SEMI-VARIABLE)</t>
  </si>
  <si>
    <t>HEADCOUNT COSTS</t>
  </si>
  <si>
    <t xml:space="preserve">  CEO / Executive Director</t>
  </si>
  <si>
    <t xml:space="preserve">  VP Marketing / Growth</t>
  </si>
  <si>
    <t xml:space="preserve">  Partnership Sales Director</t>
  </si>
  <si>
    <t xml:space="preserve">  Content &amp; Social Media Manager</t>
  </si>
  <si>
    <t xml:space="preserve">  Platform / Website Manager</t>
  </si>
  <si>
    <t xml:space="preserve">  Customer Support Specialist (Y2+)</t>
  </si>
  <si>
    <t xml:space="preserve">  Event Coordinator (Y2+)</t>
  </si>
  <si>
    <t xml:space="preserve">  Sales Associate — Corporate (Y2+)</t>
  </si>
  <si>
    <t xml:space="preserve">  Additional Hires (Y4+)</t>
  </si>
  <si>
    <t>Total Base Salaries</t>
  </si>
  <si>
    <t>Benefits Load (25%)</t>
  </si>
  <si>
    <t>TOTAL HEADCOUNT COST</t>
  </si>
  <si>
    <t>NON-HEADCOUNT OPEX</t>
  </si>
  <si>
    <t>Software / Platform Costs</t>
  </si>
  <si>
    <t>Hosting &amp; Maintenance</t>
  </si>
  <si>
    <t>Content Production Budget</t>
  </si>
  <si>
    <t>Marketing &amp; Paid Ads</t>
  </si>
  <si>
    <t>G&amp;A / Office / Admin</t>
  </si>
  <si>
    <t>Travel &amp; Event Costs</t>
  </si>
  <si>
    <t>Legal / Compliance</t>
  </si>
  <si>
    <t>Insurance</t>
  </si>
  <si>
    <t>Customer Support Tools</t>
  </si>
  <si>
    <t>TOTAL NON-HEADCOUNT OPEX</t>
  </si>
  <si>
    <t>TOTAL OPERATING EXPENSES</t>
  </si>
  <si>
    <t>TOTAL COST SUMMARY</t>
  </si>
  <si>
    <t>Total Direct Costs (COGS)</t>
  </si>
  <si>
    <t>Total Operating Expenses</t>
  </si>
  <si>
    <t>TOTAL COSTS</t>
  </si>
  <si>
    <t>Direct Costs as % of Revenue</t>
  </si>
  <si>
    <t>OpEx as % of Revenue</t>
  </si>
  <si>
    <t>Total Costs as % of Revenue</t>
  </si>
  <si>
    <t>Fixed Costs (Headcount + Non-HC Fixed)</t>
  </si>
  <si>
    <t>Variable Costs (Direct + Volume-Driven)</t>
  </si>
  <si>
    <t>Fixed Cost Ratio</t>
  </si>
  <si>
    <t>Operating Leverage Indicator</t>
  </si>
  <si>
    <t>MARGIN ANALYSIS BY SEGMENT — 10 YEAR FORECAST</t>
  </si>
  <si>
    <t>A. LEARN GOLF PLATFORM — MARGINS</t>
  </si>
  <si>
    <t>Revenue</t>
  </si>
  <si>
    <t>Direct Costs (3% processing)</t>
  </si>
  <si>
    <t>Gross Profit</t>
  </si>
  <si>
    <t>Gross Margin %</t>
  </si>
  <si>
    <t>Allocated Overhead (25% of total OpEx)</t>
  </si>
  <si>
    <t>Contribution Profit</t>
  </si>
  <si>
    <t>Contribution Margin %</t>
  </si>
  <si>
    <t>B. CREATOR NETWORK — MARGINS</t>
  </si>
  <si>
    <t>Direct Costs (Comp + Content + Mgmt)</t>
  </si>
  <si>
    <t>Allocated Overhead</t>
  </si>
  <si>
    <t>C. VENUE PARTNERSHIPS — MARGINS</t>
  </si>
  <si>
    <t>Direct Costs (Activation)</t>
  </si>
  <si>
    <t>D. CORPORATE PROGRAMS — MARGINS</t>
  </si>
  <si>
    <t>Direct Costs (Delivery + Commissions)</t>
  </si>
  <si>
    <t>CONSOLIDATED MARGIN SUMMARY</t>
  </si>
  <si>
    <t>Total Revenue</t>
  </si>
  <si>
    <t>Total Direct Costs</t>
  </si>
  <si>
    <t>GROSS PROFIT</t>
  </si>
  <si>
    <t>GROSS MARGIN %</t>
  </si>
  <si>
    <t>EBITDA</t>
  </si>
  <si>
    <t>EBITDA MARGIN %</t>
  </si>
  <si>
    <t>D&amp;A</t>
  </si>
  <si>
    <t>EBIT</t>
  </si>
  <si>
    <t>EBIT MARGIN %</t>
  </si>
  <si>
    <t>Taxes</t>
  </si>
  <si>
    <t>NOPAT</t>
  </si>
  <si>
    <t>Capex</t>
  </si>
  <si>
    <t>Change in Working Capital</t>
  </si>
  <si>
    <t>FREE CASH FLOW</t>
  </si>
  <si>
    <t>FCF MARGIN %</t>
  </si>
  <si>
    <t>10-YEAR FINANCIAL PROJECTION — INCOME STATEMENT &amp; CASH FLOW</t>
  </si>
  <si>
    <t>($)</t>
  </si>
  <si>
    <t>INCOME STATEMENT</t>
  </si>
  <si>
    <t>Platform Revenue</t>
  </si>
  <si>
    <t>Creator Revenue</t>
  </si>
  <si>
    <t>Venue Revenue</t>
  </si>
  <si>
    <t>Corporate Revenue</t>
  </si>
  <si>
    <t>Platform Direct Costs</t>
  </si>
  <si>
    <t>Creator Direct Costs</t>
  </si>
  <si>
    <t>Venue Direct Costs</t>
  </si>
  <si>
    <t>Corporate Direct Costs</t>
  </si>
  <si>
    <t>Other Direct Costs</t>
  </si>
  <si>
    <t>TOTAL COGS</t>
  </si>
  <si>
    <t>Headcount Costs</t>
  </si>
  <si>
    <t>Non-Headcount OpEx</t>
  </si>
  <si>
    <t>EBITDA Margin %</t>
  </si>
  <si>
    <t>Depreciation &amp; Amortization</t>
  </si>
  <si>
    <t>EBIT Margin %</t>
  </si>
  <si>
    <t>Taxes (@ 25%)</t>
  </si>
  <si>
    <t>NET INCOME (NOPAT)</t>
  </si>
  <si>
    <t>Net Margin %</t>
  </si>
  <si>
    <t>CASH FLOW STATEMENT</t>
  </si>
  <si>
    <t>Net Income (NOPAT)</t>
  </si>
  <si>
    <t>Add Back: D&amp;A</t>
  </si>
  <si>
    <t>Cash from Operations (before WC)</t>
  </si>
  <si>
    <t>NET CASH FROM OPERATIONS</t>
  </si>
  <si>
    <t>Capital Expenditures</t>
  </si>
  <si>
    <t>NET CASH FROM INVESTING</t>
  </si>
  <si>
    <t>FCF Margin %</t>
  </si>
  <si>
    <t>Cumulative Free Cash Flow</t>
  </si>
  <si>
    <t>UNIT ECONOMICS — BY CHANNEL &amp; CUSTOMER TYPE</t>
  </si>
  <si>
    <t>A. CONSUMER LESSON BOOKING — PLATFORM DIRECT</t>
  </si>
  <si>
    <t>Total Annual Bookings</t>
  </si>
  <si>
    <t>Marketing Spend Allocated to Platform</t>
  </si>
  <si>
    <t>CAC — Platform Organic ($)</t>
  </si>
  <si>
    <t>Avg Revenue per Booking (platform take)</t>
  </si>
  <si>
    <t>Avg Bookings per Consumer per Year</t>
  </si>
  <si>
    <t>Revenue per Consumer per Year ($)</t>
  </si>
  <si>
    <t>Consumer Retention Rate</t>
  </si>
  <si>
    <t>Avg Consumer Lifetime (years)</t>
  </si>
  <si>
    <t>LTV per Consumer ($)</t>
  </si>
  <si>
    <t>LTV / CAC Ratio</t>
  </si>
  <si>
    <t>Payback Period (months)</t>
  </si>
  <si>
    <t>Contribution Margin per Booking ($)</t>
  </si>
  <si>
    <t>B. CREATOR-DRIVEN CUSTOMER ACQUISITION</t>
  </si>
  <si>
    <t>Annual Bookings via Creators</t>
  </si>
  <si>
    <t>Total Creator Program Spend ($)</t>
  </si>
  <si>
    <t>CAC — Creator Channel ($)</t>
  </si>
  <si>
    <t>Revenue per Creator-Acquired Booking ($)</t>
  </si>
  <si>
    <t>Contribution Margin after Acq Cost ($)</t>
  </si>
  <si>
    <t>Creator Program ROI</t>
  </si>
  <si>
    <t>C. VENUE-ACQUIRED CUSTOMER</t>
  </si>
  <si>
    <t>Annual Bookings via Venues</t>
  </si>
  <si>
    <t>Total Venue Program Spend ($)</t>
  </si>
  <si>
    <t>CAC — Venue Channel ($)</t>
  </si>
  <si>
    <t>Revenue per Venue Booking ($)</t>
  </si>
  <si>
    <t>Revenue per Venue Partner ($)</t>
  </si>
  <si>
    <t>Venue Program ROI</t>
  </si>
  <si>
    <t>D. CORPORATE CLIENT</t>
  </si>
  <si>
    <t>Active Clients</t>
  </si>
  <si>
    <t>Revenue per Client ($)</t>
  </si>
  <si>
    <t>Gross Margin per Client ($)</t>
  </si>
  <si>
    <t>CAC — Corporate ($)</t>
  </si>
  <si>
    <t>Client Retention Rate</t>
  </si>
  <si>
    <t>Avg Client Lifetime (years)</t>
  </si>
  <si>
    <t>LTV per Corporate Client ($)</t>
  </si>
  <si>
    <t>EBITDA Contribution per Client ($)</t>
  </si>
  <si>
    <t>DCF VALUATION — PHILADELPHIA PGA GROWTH STRATEGY</t>
  </si>
  <si>
    <t>KEY DCF ASSUMPTIONS</t>
  </si>
  <si>
    <t>Exit EV/EBITDA Multiple (Cross-Check)</t>
  </si>
  <si>
    <t>Tax Rate</t>
  </si>
  <si>
    <t>FREE CASH FLOW FORECAST</t>
  </si>
  <si>
    <t>(-) Taxes on EBIT</t>
  </si>
  <si>
    <t>(-) Capex</t>
  </si>
  <si>
    <t>(-) Change in NWC</t>
  </si>
  <si>
    <t>(+) D&amp;A</t>
  </si>
  <si>
    <t>UNLEVERED FREE CASH FLOW</t>
  </si>
  <si>
    <t>DCF CALCULATION</t>
  </si>
  <si>
    <t>Discount Period</t>
  </si>
  <si>
    <t>Discount Factor</t>
  </si>
  <si>
    <t>PV of Free Cash Flow</t>
  </si>
  <si>
    <t>Sum of PV of FCFs</t>
  </si>
  <si>
    <t>TERMINAL VALUE — PERPETUITY GROWTH METHOD</t>
  </si>
  <si>
    <t>Year 10 FCF</t>
  </si>
  <si>
    <t>Terminal Value = FCF*(1+g)/(WACC-g)</t>
  </si>
  <si>
    <t>PV of Terminal Value</t>
  </si>
  <si>
    <t>TERMINAL VALUE — EXIT MULTIPLE METHOD</t>
  </si>
  <si>
    <t>Year 10 EBITDA</t>
  </si>
  <si>
    <t>Exit Multiple (EV/EBITDA)</t>
  </si>
  <si>
    <t>Terminal Value (Multiple)</t>
  </si>
  <si>
    <t>PV of Terminal Value (Multiple)</t>
  </si>
  <si>
    <t>ENTERPRISE VALUE SUMMARY</t>
  </si>
  <si>
    <t>PV of Forecast FCFs</t>
  </si>
  <si>
    <t>PV of Terminal Value (Perpetuity Growth)</t>
  </si>
  <si>
    <t>PV of Terminal Value (Exit Multiple)</t>
  </si>
  <si>
    <t>EV — Perpetuity Growth Method</t>
  </si>
  <si>
    <t>EV — Exit Multiple Method</t>
  </si>
  <si>
    <t>EV — Average of Both Methods</t>
  </si>
  <si>
    <t>IMPLIED MULTIPLES</t>
  </si>
  <si>
    <t>EV / Year 1 Revenue</t>
  </si>
  <si>
    <t>EV / Year 5 Revenue</t>
  </si>
  <si>
    <t>EV / Year 10 Revenue</t>
  </si>
  <si>
    <t>EV / Year 5 EBITDA</t>
  </si>
  <si>
    <t>EV / Year 10 EBITDA</t>
  </si>
  <si>
    <t>LBO ANALYSIS — LEVERAGED BUYOUT MODEL</t>
  </si>
  <si>
    <t>TRANSACTION SUMMARY</t>
  </si>
  <si>
    <t>Entry Multiple (EV/EBITDA)</t>
  </si>
  <si>
    <t>Enterprise Value at Entry</t>
  </si>
  <si>
    <t>Transaction Fees (3% of EV)</t>
  </si>
  <si>
    <t>Total Transaction Value</t>
  </si>
  <si>
    <t>SOURCES &amp; USES</t>
  </si>
  <si>
    <t>Debt / Total Capital</t>
  </si>
  <si>
    <t>Total Debt</t>
  </si>
  <si>
    <t xml:space="preserve">  Senior Debt (70%)</t>
  </si>
  <si>
    <t xml:space="preserve">  Mezzanine Debt (30%)</t>
  </si>
  <si>
    <t>Total Equity Required</t>
  </si>
  <si>
    <t xml:space="preserve">  Management Rollover (15%)</t>
  </si>
  <si>
    <t xml:space="preserve">  Sponsor Equity</t>
  </si>
  <si>
    <t>Entry</t>
  </si>
  <si>
    <t>Interest — Senior (8%)</t>
  </si>
  <si>
    <t>Interest — Mezzanine (12%)</t>
  </si>
  <si>
    <t>Total Interest Expense</t>
  </si>
  <si>
    <t>Cash Available for Debt Paydown</t>
  </si>
  <si>
    <t>Senior Debt — Beginning</t>
  </si>
  <si>
    <t>Mandatory Amortization (5%)</t>
  </si>
  <si>
    <t>Optional Prepayment</t>
  </si>
  <si>
    <t>Senior Debt — Ending</t>
  </si>
  <si>
    <t>Mezzanine Debt — Beginning</t>
  </si>
  <si>
    <t>Mezzanine Interest (PIK if needed)</t>
  </si>
  <si>
    <t>Mezzanine Debt — Ending</t>
  </si>
  <si>
    <t>Total Debt — Ending</t>
  </si>
  <si>
    <t>Net Debt / EBITDA</t>
  </si>
  <si>
    <t>EXIT ANALYSIS &amp; SPONSOR RETURNS</t>
  </si>
  <si>
    <t>Enterprise Value at Exit</t>
  </si>
  <si>
    <t>Less: Remaining Debt</t>
  </si>
  <si>
    <t>Equity Value at Exit</t>
  </si>
  <si>
    <t>Less: Management Share (15%)</t>
  </si>
  <si>
    <t>Sponsor Equity at Exit</t>
  </si>
  <si>
    <t>Sponsor Equity Invested</t>
  </si>
  <si>
    <t>Sponsor Equity Returned</t>
  </si>
  <si>
    <t>SPONSOR MOIC</t>
  </si>
  <si>
    <t>SPONSOR IRR (5-year hold)</t>
  </si>
  <si>
    <t>Total Debt Paydown ($)</t>
  </si>
  <si>
    <t>% of Original Debt Repaid</t>
  </si>
  <si>
    <t>SCENARIO ANALYSIS — BASE / UPSIDE / DOWNSIDE / STRESS</t>
  </si>
  <si>
    <t>Scenario Driver</t>
  </si>
  <si>
    <t>Base Case</t>
  </si>
  <si>
    <t>Upside Case</t>
  </si>
  <si>
    <t>Downside Case</t>
  </si>
  <si>
    <t>Stress Case</t>
  </si>
  <si>
    <t>KEY SCENARIO ASSUMPTIONS</t>
  </si>
  <si>
    <t>Y5 Pro Onboarding Rate</t>
  </si>
  <si>
    <t>Y5 Creator Count</t>
  </si>
  <si>
    <t>Creator Booking Conversion</t>
  </si>
  <si>
    <t>Y5 Venue Partners</t>
  </si>
  <si>
    <t>Venue Booking Conversion</t>
  </si>
  <si>
    <t>Y5 Corporate Clients</t>
  </si>
  <si>
    <t>Annual Golf Growth Rate</t>
  </si>
  <si>
    <t>OpEx Growth Rate</t>
  </si>
  <si>
    <t>Salary Escalation</t>
  </si>
  <si>
    <t>Premium Listing Adoption</t>
  </si>
  <si>
    <t>Corporate Sponsorship Rate</t>
  </si>
  <si>
    <t>SCENARIO OUTPUTS — YEAR 5</t>
  </si>
  <si>
    <t xml:space="preserve">  Platform Revenue</t>
  </si>
  <si>
    <t xml:space="preserve">  Creator Revenue</t>
  </si>
  <si>
    <t xml:space="preserve">  Venue Revenue</t>
  </si>
  <si>
    <t xml:space="preserve">  Corporate Revenue</t>
  </si>
  <si>
    <t>Free Cash Flow</t>
  </si>
  <si>
    <t>VALUATION ACROSS SCENARIOS</t>
  </si>
  <si>
    <t>Year 5 EBITDA</t>
  </si>
  <si>
    <t>Implied EV (Base 12x)</t>
  </si>
  <si>
    <t>DCF Enterprise Value</t>
  </si>
  <si>
    <t>LBO Sponsor IRR (est.)</t>
  </si>
  <si>
    <t>LBO MOIC (est.)</t>
  </si>
  <si>
    <t>SENSITIVITY TABLES — KEY DRIVER ANALYSIS</t>
  </si>
  <si>
    <t>TABLE 1: DCF EV — WACC vs Terminal Growth Rate</t>
  </si>
  <si>
    <t>WACC \ TGR</t>
  </si>
  <si>
    <t>TABLE 2: LBO MOIC — Entry Multiple vs Exit Multiple</t>
  </si>
  <si>
    <t>Entry \ Exit</t>
  </si>
  <si>
    <t>8x</t>
  </si>
  <si>
    <t>10x</t>
  </si>
  <si>
    <t>11x</t>
  </si>
  <si>
    <t>12x</t>
  </si>
  <si>
    <t>13x</t>
  </si>
  <si>
    <t>14x</t>
  </si>
  <si>
    <t>16x</t>
  </si>
  <si>
    <t>7x</t>
  </si>
  <si>
    <t>9x</t>
  </si>
  <si>
    <t>TABLE 3: Y5 Platform Rev ($) — Lesson Price vs Take Rate</t>
  </si>
  <si>
    <t>Price \ Take</t>
  </si>
  <si>
    <t>TABLE 4: Y5 Corporate Rev ($) — # Clients vs Avg Event Value</t>
  </si>
  <si>
    <t>Clients \ $/Event</t>
  </si>
  <si>
    <t>RISK MANAGEMENT FRAMEWORK — PHILADELPHIA PGA GROWTH STRATEGY</t>
  </si>
  <si>
    <t>Risk Category</t>
  </si>
  <si>
    <t>Risk Description</t>
  </si>
  <si>
    <t>Likelihood</t>
  </si>
  <si>
    <t>Impact</t>
  </si>
  <si>
    <t>Leading Indicators</t>
  </si>
  <si>
    <t>Mitigation Strategy</t>
  </si>
  <si>
    <t>Contingency Plan</t>
  </si>
  <si>
    <t>Owner</t>
  </si>
  <si>
    <t>Market Adoption</t>
  </si>
  <si>
    <t>Pros do not adopt platform — insufficient value prop or trust</t>
  </si>
  <si>
    <t>Medium</t>
  </si>
  <si>
    <t>High</t>
  </si>
  <si>
    <t>Onboarding rate &lt;10% at M6; NPS &lt;30</t>
  </si>
  <si>
    <t>Phased launch with 20 pilot pros; free trial period; dedicated onboarding support</t>
  </si>
  <si>
    <t>Pivot to referral-only model; reduce platform investment; focus on content/events</t>
  </si>
  <si>
    <t>VP Marketing</t>
  </si>
  <si>
    <t>Consumers do not convert — low awareness or poor UX</t>
  </si>
  <si>
    <t>Conversion rate &lt;2%; bounce rate &gt;70%</t>
  </si>
  <si>
    <t>A/B test landing pages; invest in SEO; simplify booking flow</t>
  </si>
  <si>
    <t>Redirect spend to offline channels; partner with venues for direct acquisition</t>
  </si>
  <si>
    <t>Platform Mgr</t>
  </si>
  <si>
    <t>Golf participation growth slows or reverses</t>
  </si>
  <si>
    <t>Low</t>
  </si>
  <si>
    <t>National participation data trending down 2+ qtrs</t>
  </si>
  <si>
    <t>Diversify to non-golfer programming; expand beginner content</t>
  </si>
  <si>
    <t>Reduce growth capex; shift to profitability focus; cut expansion plans</t>
  </si>
  <si>
    <t>CEO</t>
  </si>
  <si>
    <t>Brand / Reputation</t>
  </si>
  <si>
    <t>Inconsistent pro quality damages brand trust</t>
  </si>
  <si>
    <t>Negative reviews &gt;5%; complaint rate rising</t>
  </si>
  <si>
    <t>Vetting standards; profile quality review; rating/feedback system</t>
  </si>
  <si>
    <t>Remove underperforming pros; issue public quality commitment; refund policy</t>
  </si>
  <si>
    <t>Partnership Dir</t>
  </si>
  <si>
    <t>Continued confusion with PGA Tour dilutes positioning</t>
  </si>
  <si>
    <t>Surveys show &lt;30% brand distinction awareness</t>
  </si>
  <si>
    <t>Distinction campaign; 'We Are Not the Tour' content; consistent messaging</t>
  </si>
  <si>
    <t>Rebrand consideration; alternative naming for consumer-facing products</t>
  </si>
  <si>
    <t>Operational</t>
  </si>
  <si>
    <t>Under-resourced support leads to poor experience</t>
  </si>
  <si>
    <t>Support ticket backlog &gt;48hr; satisfaction &lt;3.5/5</t>
  </si>
  <si>
    <t>Hire support specialist Y2; implement ticketing system; SLA targets</t>
  </si>
  <si>
    <t>Outsource overflow support; reduce feature scope to manageable level</t>
  </si>
  <si>
    <t>Operations</t>
  </si>
  <si>
    <t>Event execution failure damages corporate relationships</t>
  </si>
  <si>
    <t>Event NPS &lt;40; client complaint rate &gt;10%</t>
  </si>
  <si>
    <t>Standard operating procedures; backup staffing; venue walk-throughs</t>
  </si>
  <si>
    <t>Immediate client remediation; comp event; dedicated account recovery</t>
  </si>
  <si>
    <t>Event Coord</t>
  </si>
  <si>
    <t>Creator content quality/consistency issues</t>
  </si>
  <si>
    <t>Engagement rate drops &lt;2%; brand guideline violations</t>
  </si>
  <si>
    <t>Monthly content calendar; brand guidelines training; editorial review</t>
  </si>
  <si>
    <t>Pause underperforming creators; shift to in-house content production</t>
  </si>
  <si>
    <t>Content Mgr</t>
  </si>
  <si>
    <t>Financial</t>
  </si>
  <si>
    <t>CAC exceeds threshold — acquisition economics break</t>
  </si>
  <si>
    <t>CAC &gt;$50 platform; &gt;$75 creator; &gt;$4K corporate</t>
  </si>
  <si>
    <t>Monthly CAC monitoring; channel-level P&amp;L; kill underperformers</t>
  </si>
  <si>
    <t>Pause paid acquisition; shift to organic/referral only; reduce marketing</t>
  </si>
  <si>
    <t>Margins weaker than expected — cost overruns</t>
  </si>
  <si>
    <t>GM &lt;40% or EBITDA margin &lt;-20% in Y2</t>
  </si>
  <si>
    <t>Monthly margin reviews; variable cost discipline; stage-gated investment</t>
  </si>
  <si>
    <t>Headcount freeze; reduce non-essential spend; renegotiate vendor contracts</t>
  </si>
  <si>
    <t>CEO / Finance</t>
  </si>
  <si>
    <t>Venue partnerships unprofitable — high activation cost</t>
  </si>
  <si>
    <t>Revenue/venue &lt;$30K; ROI &lt;0% after 12 months</t>
  </si>
  <si>
    <t>Pilot 2 venues before scaling; quarterly ROI review per venue</t>
  </si>
  <si>
    <t>Exit unprofitable venues; renegotiate terms; shift to lower-cost co-marketing</t>
  </si>
  <si>
    <t>Corporate sales cycle longer than expected</t>
  </si>
  <si>
    <t>Close rate &lt;10%; avg cycle &gt;6 months</t>
  </si>
  <si>
    <t>Pipeline tracking; CRM implementation; qualify prospects aggressively</t>
  </si>
  <si>
    <t>Reduce corporate headcount; focus on smaller/faster deals; pivot to events</t>
  </si>
  <si>
    <t>Sales Dir</t>
  </si>
  <si>
    <t>Technology</t>
  </si>
  <si>
    <t>Website underperforms — poor UX drives low conversion</t>
  </si>
  <si>
    <t>Page load &gt;3s; conversion &lt;1%; high bounce rate</t>
  </si>
  <si>
    <t>Regular UX audits; analytics instrumentation; mobile optimization</t>
  </si>
  <si>
    <t>Simplify to MVP; redirect traffic to phone/email booking; hire UX consultant</t>
  </si>
  <si>
    <t>Data fragmentation — no single source of truth</t>
  </si>
  <si>
    <t>Multiple disconnected systems; manual data entry</t>
  </si>
  <si>
    <t>CRM integration from day 1; unified analytics dashboard</t>
  </si>
  <si>
    <t>Data cleanup sprint; consolidate to single platform; hire data analyst</t>
  </si>
  <si>
    <t>Concentration</t>
  </si>
  <si>
    <t>Revenue over-concentrated in few pros or clients</t>
  </si>
  <si>
    <t>Top 10 pros = &gt;40% of rev; top 3 clients = &gt;50%</t>
  </si>
  <si>
    <t>Diversification targets; minimum portfolio thresholds per segment</t>
  </si>
  <si>
    <t>Accelerate recruitment pipeline; offer incentives for underperforming tiers</t>
  </si>
  <si>
    <t>Overreliance on single venue partner (e.g., Topgolf)</t>
  </si>
  <si>
    <t>Single venue = &gt;60% of venue revenue</t>
  </si>
  <si>
    <t>Pursue 3+ venue partners concurrently; diversify venue types</t>
  </si>
  <si>
    <t>Develop alternative off-course partnerships; reduce venue dependency</t>
  </si>
  <si>
    <t>Advertising claims challenged — PGA branding issues</t>
  </si>
  <si>
    <t>Cease &amp; desist notice; trademark dispute</t>
  </si>
  <si>
    <t>Legal review of all materials; brand usage guidelines; disclaimers</t>
  </si>
  <si>
    <t>Immediate compliance; legal counsel engagement; material revision</t>
  </si>
  <si>
    <t>Legal</t>
  </si>
  <si>
    <t>Privacy / data management violations</t>
  </si>
  <si>
    <t>Data breach; GDPR/CCPA complaint</t>
  </si>
  <si>
    <t>Privacy policy; data security protocols; encryption; regular audits</t>
  </si>
  <si>
    <t>Incident response plan; breach notification; legal remediation</t>
  </si>
  <si>
    <t>Legal / IT</t>
  </si>
  <si>
    <t>FINANCIAL RISK CONTROLS &amp; THRESHOLDS</t>
  </si>
  <si>
    <t>Control</t>
  </si>
  <si>
    <t>Threshold</t>
  </si>
  <si>
    <t>Action if Breached</t>
  </si>
  <si>
    <t>Min Gross Margin by Segment</t>
  </si>
  <si>
    <t>Below = restructure or exit segment</t>
  </si>
  <si>
    <t>Min Contribution Margin by Channel</t>
  </si>
  <si>
    <t>Below = exit acquisition channel</t>
  </si>
  <si>
    <t>Max CAC — Platform Organic</t>
  </si>
  <si>
    <t>Above = pause paid; shift to organic</t>
  </si>
  <si>
    <t>Max CAC — Creator Channel</t>
  </si>
  <si>
    <t>Above = reduce creator cohort</t>
  </si>
  <si>
    <t>Max CAC — Corporate B2B</t>
  </si>
  <si>
    <t>Above = renegotiate sales process</t>
  </si>
  <si>
    <t>Max Payback Period</t>
  </si>
  <si>
    <t>12 months</t>
  </si>
  <si>
    <t>Above = kill channel investment</t>
  </si>
  <si>
    <t>Min IRR Hurdle for Expansion</t>
  </si>
  <si>
    <t>Below = do not approve initiative</t>
  </si>
  <si>
    <t>Go/No-Go — Venue Partnership</t>
  </si>
  <si>
    <t>Revenue/venue &gt; $30K &amp; ROI &gt; 0%</t>
  </si>
  <si>
    <t>Below = exit partnership at renewal</t>
  </si>
  <si>
    <t>Headcount Freeze Trigger</t>
  </si>
  <si>
    <t>EBITDA margin &lt; -25% for 2 consecutive quarters</t>
  </si>
  <si>
    <t>Freeze all hiring; review cuts</t>
  </si>
  <si>
    <t>Cash Reserve Minimum</t>
  </si>
  <si>
    <t>6 months of fixed costs</t>
  </si>
  <si>
    <t>Below = activate emergency protocols</t>
  </si>
  <si>
    <t>OPERATIONAL KPI DASHBOARD — 10 YEAR FORECAST</t>
  </si>
  <si>
    <t>KPI</t>
  </si>
  <si>
    <t>OPERATING KPIs</t>
  </si>
  <si>
    <t>Active PGA Pros on Platform</t>
  </si>
  <si>
    <t>Total Annual Lesson Bookings</t>
  </si>
  <si>
    <t>Bookings via Creators (annual)</t>
  </si>
  <si>
    <t>Bookings via Venues (annual)</t>
  </si>
  <si>
    <t>Corporate Events Delivered</t>
  </si>
  <si>
    <t>FINANCIAL KPIs</t>
  </si>
  <si>
    <t>Total Revenue ($)</t>
  </si>
  <si>
    <t>Gross Profit ($)</t>
  </si>
  <si>
    <t>EBITDA ($)</t>
  </si>
  <si>
    <t>Free Cash Flow ($)</t>
  </si>
  <si>
    <t>Revenue Growth (YoY)</t>
  </si>
  <si>
    <t>UNIT ECONOMICS KPIs</t>
  </si>
  <si>
    <t>CAC — Platform ($)</t>
  </si>
  <si>
    <t>Revenue per Active Pro ($)</t>
  </si>
  <si>
    <t>Revenue per Corporate Client ($)</t>
  </si>
  <si>
    <t>Corporate LTV / CAC</t>
  </si>
  <si>
    <t>VALUATION SUMMARY</t>
  </si>
  <si>
    <t>DCF Enterprise Value (Avg)</t>
  </si>
  <si>
    <t>LBO Sponsor MOIC</t>
  </si>
  <si>
    <t>LBO Sponsor IRR</t>
  </si>
  <si>
    <t>EV / Y5 EBITDA</t>
  </si>
  <si>
    <t>EV / Y10 Revenue</t>
  </si>
  <si>
    <t>PHILADELPHIA PGA SECTION</t>
  </si>
  <si>
    <t>Growth Strategy Financial Model — Investment Committee Overview</t>
  </si>
  <si>
    <t>"We Built the Game. It's Time Philadelphia Knew It."</t>
  </si>
  <si>
    <t>REVENUE SUMMARY BY YEAR</t>
  </si>
  <si>
    <t>VALUATION &amp; INVESTMENT RETURNS</t>
  </si>
  <si>
    <t>DCF Enterprise Value (Perpetuity Growth)</t>
  </si>
  <si>
    <t>DCF Enterprise Value (Exit Multiple)</t>
  </si>
  <si>
    <t>DCF Enterprise Value (Average)</t>
  </si>
  <si>
    <t>LBO Sponsor IRR (5-yr hold)</t>
  </si>
  <si>
    <t>KEY OPERATING KPIs — YEAR 5 SNAPSHOT</t>
  </si>
  <si>
    <t>Active Pros on Platform</t>
  </si>
  <si>
    <t>Gross Marketplace Volume</t>
  </si>
  <si>
    <t>Consumer LTV / CAC</t>
  </si>
  <si>
    <t>SCENARIO COMPARISON — YEAR 5 EBITDA &amp; VALUATION</t>
  </si>
  <si>
    <t>Base</t>
  </si>
  <si>
    <t>Upside</t>
  </si>
  <si>
    <t>Downside</t>
  </si>
  <si>
    <t>Stress</t>
  </si>
  <si>
    <t>Implied EV</t>
  </si>
  <si>
    <t>LBO IRR</t>
  </si>
  <si>
    <t>INVESTMENT THESIS — KEY TAKEAWAYS</t>
  </si>
  <si>
    <t>BIGGEST VALUE DRIVERS: Platform transaction revenue scales with pro onboarding; corporate program offers highest absolute $ per client; venue partnerships provide low-CAC top-of-funnel.</t>
  </si>
  <si>
    <t>MOST IMPORTANT RISKS: Pro adoption speed is the critical gate; brand confusion with PGA Tour must be addressed before marketing spend scales; corporate sales cycle length determines cash flow timing.</t>
  </si>
  <si>
    <t>MARGIN INFLECTION POINTS: Y2-3 transition from investment to contribution-positive; Y5 operating leverage kicks in as fixed costs are absorbed; Y7+ mature margins approach 25-35% EBITDA.</t>
  </si>
  <si>
    <t>UPSIDE CASE: Requires 80% pro onboarding, 12 venue partners, 70 corporate clients. Golf participation continues post-COVID growth. Creator network generates earned media multiplier.</t>
  </si>
  <si>
    <t>DOWNSIDE BREAKS: If pro adoption stays below 40% by Y3, platform economics do not work. If corporate sales cycle exceeds 6 months, cash burn extends. If venue conversion &lt;2%, channel is unprofitable.</t>
  </si>
  <si>
    <t>CAPITAL EFFICIENCY: Low capex model (5% of rev). Primary investment is people. Break-even at ~Y3 EBITDA. Cumulative FCF turns positive by Y4-5 in base case.</t>
  </si>
  <si>
    <t>Entry Year EBITDA (Year 5 — first profitable year)</t>
  </si>
  <si>
    <t>DEBT SCHEDULE — 5-YEAR HOLD PERIOD (Entry at Year 5, Exit at Year 10)</t>
  </si>
  <si>
    <t>Year 1 (Y6)</t>
  </si>
  <si>
    <t>Year 2 (Y7)</t>
  </si>
  <si>
    <t>Year 3 (Y8)</t>
  </si>
  <si>
    <t>Year 4 (Y9)</t>
  </si>
  <si>
    <t>Year 5 (Y10, Exit)</t>
  </si>
  <si>
    <t>Exit Year EBITDA (Year 10 = Y5 of hold)</t>
  </si>
  <si>
    <t>Revenue by Segment</t>
  </si>
  <si>
    <t>Segment</t>
  </si>
  <si>
    <t>Platform</t>
  </si>
  <si>
    <t>Creator</t>
  </si>
  <si>
    <t>Venue</t>
  </si>
  <si>
    <t>Corporate</t>
  </si>
  <si>
    <t>Margin Progression (%)</t>
  </si>
  <si>
    <t>Metric</t>
  </si>
  <si>
    <t>P&amp;L Bridge</t>
  </si>
  <si>
    <t>Revenue Mix — Year 5</t>
  </si>
  <si>
    <t>Revenue Mix — Year 10</t>
  </si>
  <si>
    <t>Fixed vs Variable Cost</t>
  </si>
  <si>
    <t>Cost Type</t>
  </si>
  <si>
    <t>Fixed Costs</t>
  </si>
  <si>
    <t>Variable Costs</t>
  </si>
  <si>
    <t>Operating Leverage</t>
  </si>
  <si>
    <t>Op Leverage (Rev/Fixed)</t>
  </si>
  <si>
    <t>Scenario Comparison</t>
  </si>
  <si>
    <t>FCF</t>
  </si>
  <si>
    <t>LTV/CAC by Channel — Year 5</t>
  </si>
  <si>
    <t>Channel</t>
  </si>
  <si>
    <t>LTV/CAC</t>
  </si>
  <si>
    <t>Payback (mo)</t>
  </si>
  <si>
    <t>Platform Organic</t>
  </si>
  <si>
    <t>Corporate B2B</t>
  </si>
  <si>
    <t>Segment Gross Margins (%)</t>
  </si>
  <si>
    <t>Platform GM%</t>
  </si>
  <si>
    <t>Creator GM%</t>
  </si>
  <si>
    <t>Venue GM%</t>
  </si>
  <si>
    <t>Corporate GM%</t>
  </si>
  <si>
    <t>Blended GM%</t>
  </si>
  <si>
    <t>Operational Scale KPIs</t>
  </si>
  <si>
    <t>Annual Bookings (000s)</t>
  </si>
  <si>
    <t>GMV ($000s)</t>
  </si>
  <si>
    <t>DCF Value Bridge</t>
  </si>
  <si>
    <t>Component</t>
  </si>
  <si>
    <t>PV of FCFs</t>
  </si>
  <si>
    <t>PV of Terminal Value (Perp)</t>
  </si>
  <si>
    <t>PV of Terminal Value (Mult)</t>
  </si>
  <si>
    <t>Enterprise Value (Avg)</t>
  </si>
  <si>
    <t>Venue Conversion Funnel — Year 5</t>
  </si>
  <si>
    <t>Stage</t>
  </si>
  <si>
    <t>Count</t>
  </si>
  <si>
    <t>Venue Foot Traffic</t>
  </si>
  <si>
    <t>Exposed to PGA Content</t>
  </si>
  <si>
    <t>QR Scan / Engage</t>
  </si>
  <si>
    <t>Site Visits</t>
  </si>
  <si>
    <t>Bookings</t>
  </si>
  <si>
    <t>Creator Conversion Funnel — Year 5</t>
  </si>
  <si>
    <t>Monthly Impressions</t>
  </si>
  <si>
    <t>Engaged Users</t>
  </si>
  <si>
    <t>Website Clicks</t>
  </si>
  <si>
    <t>Inquiries</t>
  </si>
  <si>
    <t>Monthly Bookings</t>
  </si>
  <si>
    <t>GMV vs Platform Take</t>
  </si>
  <si>
    <t>Platform Revenue ($000s)</t>
  </si>
  <si>
    <t>Team Cost vs Revenue</t>
  </si>
  <si>
    <t>Revenue ($000s)</t>
  </si>
  <si>
    <t>Headcount Cost ($000s)</t>
  </si>
  <si>
    <t>Non-HC OpEx ($000s)</t>
  </si>
  <si>
    <t>Corporate Scaling</t>
  </si>
  <si>
    <t>Revenue per Client ($000s)</t>
  </si>
  <si>
    <t>P&amp;L Bridge — Year 5</t>
  </si>
  <si>
    <t>Value ($000s)</t>
  </si>
  <si>
    <t>(-) COGS</t>
  </si>
  <si>
    <t>(-) OpEx</t>
  </si>
  <si>
    <t>Growth Potential</t>
  </si>
  <si>
    <t>Scalability</t>
  </si>
  <si>
    <t>Capital Efficiency</t>
  </si>
  <si>
    <t>Risk Score</t>
  </si>
  <si>
    <t>Return Score</t>
  </si>
  <si>
    <t>Segment Scorecard</t>
  </si>
  <si>
    <t>Gross Margin</t>
  </si>
  <si>
    <t>Market Size</t>
  </si>
  <si>
    <t>Blended</t>
  </si>
  <si>
    <t>Risk Score (Lower=Better)</t>
  </si>
  <si>
    <t>LBO Returns Breakdown</t>
  </si>
  <si>
    <t>Sponsor Equity In</t>
  </si>
  <si>
    <t>Debt Paydown</t>
  </si>
  <si>
    <t>Management Share</t>
  </si>
  <si>
    <t>I. MARKET SIZING — TAM / SAM / SOM</t>
  </si>
  <si>
    <t>Calculation / Source</t>
  </si>
  <si>
    <t>US Golf Instruction Market (TAM)</t>
  </si>
  <si>
    <t>IBISWorld — private golf instruction</t>
  </si>
  <si>
    <t>Mid-Atlantic Region Share</t>
  </si>
  <si>
    <t>~12% of US by population</t>
  </si>
  <si>
    <t>Regional Instruction TAM</t>
  </si>
  <si>
    <t>Off-Course / Entertainment Golf TAM</t>
  </si>
  <si>
    <t>Topgolf, simulators, ranges</t>
  </si>
  <si>
    <t>Corporate Golf Events TAM (National)</t>
  </si>
  <si>
    <t>GBAC industry data</t>
  </si>
  <si>
    <t>Philadelphia DMA Share of Corp TAM</t>
  </si>
  <si>
    <t>~3.5% based on DMA rank #4</t>
  </si>
  <si>
    <t>TOTAL ADDRESSABLE MARKET (Regional)</t>
  </si>
  <si>
    <t>Serviceable Addressable Market (SAM)</t>
  </si>
  <si>
    <t>15% of TAM reachable by PGA Section</t>
  </si>
  <si>
    <t>SAM ($)</t>
  </si>
  <si>
    <t>Year 5 Revenue Target</t>
  </si>
  <si>
    <t>SOM — Share of Market at Y5</t>
  </si>
  <si>
    <t>Year 10 Revenue Target</t>
  </si>
  <si>
    <t>SOM — Share of Market at Y10</t>
  </si>
  <si>
    <t>J. SEASONALITY &amp; COHORT ASSUMPTIONS</t>
  </si>
  <si>
    <t>Notes</t>
  </si>
  <si>
    <t>Peak Season Multiplier (Apr-Oct)</t>
  </si>
  <si>
    <t>Golf is seasonal — 70% of activity</t>
  </si>
  <si>
    <t>Off-Season Multiplier (Nov-Mar)</t>
  </si>
  <si>
    <t>Indoor lessons, planning season</t>
  </si>
  <si>
    <t>Consumer Retention — Year 1 to 2</t>
  </si>
  <si>
    <t>1 - churn rate</t>
  </si>
  <si>
    <t>Consumer Retention — Year 2 to 3</t>
  </si>
  <si>
    <t>Improving stickiness</t>
  </si>
  <si>
    <t>Consumer Retention — Year 3+</t>
  </si>
  <si>
    <t>Mature cohort retention</t>
  </si>
  <si>
    <t>Corp Client Retention — Year 1 to 2</t>
  </si>
  <si>
    <t>Initial renewal rate</t>
  </si>
  <si>
    <t>Corp Client Retention — Year 2+</t>
  </si>
  <si>
    <t>Established relationships</t>
  </si>
  <si>
    <t>Avg Lessons per New Consumer (Y1)</t>
  </si>
  <si>
    <t>Discovery / trial phase</t>
  </si>
  <si>
    <t>Avg Lessons per Retained Consumer</t>
  </si>
  <si>
    <t>Committed learner</t>
  </si>
  <si>
    <t>Revenue Concentration Risk Cap</t>
  </si>
  <si>
    <t>No single pro &gt; 15% of rev</t>
  </si>
  <si>
    <t>Avg Time to First Booking (days)</t>
  </si>
  <si>
    <t>days</t>
  </si>
  <si>
    <t>From signup to lesson</t>
  </si>
  <si>
    <t>Net Promoter Score Target</t>
  </si>
  <si>
    <t>Benchmark for platform health</t>
  </si>
  <si>
    <t>E. CUSTOMER COUNT &amp; NET RETENTION MODEL</t>
  </si>
  <si>
    <t>CONSUMER CUSTOMERS (Lesson Buyers)</t>
  </si>
  <si>
    <t>Beginning Customers</t>
  </si>
  <si>
    <t>New Customers — Platform Direct</t>
  </si>
  <si>
    <t>New Customers — Creator Channel</t>
  </si>
  <si>
    <t>New Customers — Venue Channel</t>
  </si>
  <si>
    <t>Total New Customers</t>
  </si>
  <si>
    <t>Churned Customers (30% annual churn)</t>
  </si>
  <si>
    <t>Ending Customers</t>
  </si>
  <si>
    <t>Net Customer Growth</t>
  </si>
  <si>
    <t>Avg Lessons per Customer</t>
  </si>
  <si>
    <t>Total Customer-Driven Lessons</t>
  </si>
  <si>
    <t>CORPORATE CLIENTS</t>
  </si>
  <si>
    <t>Beginning Clients</t>
  </si>
  <si>
    <t>New Clients Won</t>
  </si>
  <si>
    <t>Churned Clients (20% annual)</t>
  </si>
  <si>
    <t>Ending Clients</t>
  </si>
  <si>
    <t>Net New Clients</t>
  </si>
  <si>
    <t>OPERATING LEVERAGE &amp; MARGIN BRIDGE ANALYSIS</t>
  </si>
  <si>
    <t>YoY Revenue Growth ($)</t>
  </si>
  <si>
    <t>YoY Revenue Growth (%)</t>
  </si>
  <si>
    <t>COGS (Direct Costs)</t>
  </si>
  <si>
    <t>YoY COGS Growth ($)</t>
  </si>
  <si>
    <t>YoY COGS Growth (%)</t>
  </si>
  <si>
    <t>Incremental Gross Margin (ΔGP / ΔRev)</t>
  </si>
  <si>
    <t>Total Operating Costs</t>
  </si>
  <si>
    <t>YoY OpEx Growth ($)</t>
  </si>
  <si>
    <t>YoY OpEx Growth (%)</t>
  </si>
  <si>
    <t>Incremental EBITDA Margin (ΔEBITDA / ΔRev)</t>
  </si>
  <si>
    <t>OPERATING LEVERAGE RATIOS</t>
  </si>
  <si>
    <t>Revenue / Fixed Costs</t>
  </si>
  <si>
    <t>Degree of Operating Leverage (DOL)</t>
  </si>
  <si>
    <t>Incremental EBITDA Margin vs Avg EBITDA Margin</t>
  </si>
  <si>
    <t>Break-Even Revenue ($)</t>
  </si>
  <si>
    <t>Break-Even as % of Actual Revenue</t>
  </si>
  <si>
    <t>MARGIN BRIDGE (Basis Points Change YoY)</t>
  </si>
  <si>
    <t>Gross Margin Change (bps)</t>
  </si>
  <si>
    <t>EBITDA Margin Change (bps)</t>
  </si>
  <si>
    <t>FCF Margin Change (bps)</t>
  </si>
  <si>
    <t>E. COHORT ECONOMICS — 5-YEAR CONSUMER COHORT MODEL</t>
  </si>
  <si>
    <t>Cohort Year 1 Customer</t>
  </si>
  <si>
    <t>Retention Rate</t>
  </si>
  <si>
    <t>Surviving Customers (from 100)</t>
  </si>
  <si>
    <t>Lessons per Customer</t>
  </si>
  <si>
    <t>Gross Lesson Revenue</t>
  </si>
  <si>
    <t>Platform Revenue per Cohort</t>
  </si>
  <si>
    <t>Revenue per Surviving Customer</t>
  </si>
  <si>
    <t>Cumulative Revenue per Orig Customer</t>
  </si>
  <si>
    <t>COHORT LTV CALCULATION</t>
  </si>
  <si>
    <t>Total 5-Year Cumulative Rev / Customer</t>
  </si>
  <si>
    <t>Less: CAC ($25)</t>
  </si>
  <si>
    <t>Net Cohort Value per Customer</t>
  </si>
  <si>
    <t>CAC Payback Multiple</t>
  </si>
  <si>
    <t>SUM-OF-THE-PARTS (SOTP) VALUATION CROSS-CHECK</t>
  </si>
  <si>
    <t>Y10 Revenue</t>
  </si>
  <si>
    <t>Y10 EBITDA (est)</t>
  </si>
  <si>
    <t>Comp Multiple</t>
  </si>
  <si>
    <t>Segment Value</t>
  </si>
  <si>
    <t>% of Total</t>
  </si>
  <si>
    <t>Learn Golf Platform (SaaS/Marketplace)</t>
  </si>
  <si>
    <t>Creator Network (Media/Advertising)</t>
  </si>
  <si>
    <t>Venue Partnerships (B2B Services)</t>
  </si>
  <si>
    <t>Corporate Programs (Events/Services)</t>
  </si>
  <si>
    <t>High-margin recurring rev — SaaS comps</t>
  </si>
  <si>
    <t>Content/media platform comps</t>
  </si>
  <si>
    <t>B2B partnership / services comps</t>
  </si>
  <si>
    <t>Events / corporate services comps</t>
  </si>
  <si>
    <t>TOTAL SOTP ENTERPRISE VALUE</t>
  </si>
  <si>
    <t>PV of SOTP EV (discounted 10 years)</t>
  </si>
  <si>
    <t>VALUATION COMPARISON</t>
  </si>
  <si>
    <t>Method</t>
  </si>
  <si>
    <t>Enterprise Value</t>
  </si>
  <si>
    <t>DCF — Perpetuity Growth</t>
  </si>
  <si>
    <t>WACC: 15%, TGR: 3%</t>
  </si>
  <si>
    <t>DCF — Exit Multiple</t>
  </si>
  <si>
    <t>12x Y10 EBITDA</t>
  </si>
  <si>
    <t>DCF — Average</t>
  </si>
  <si>
    <t>SOTP Cross-Check (PV)</t>
  </si>
  <si>
    <t>Segment-level multiples</t>
  </si>
  <si>
    <t>Variance (DCF vs SOTP)</t>
  </si>
  <si>
    <t>QUANTIFIED RISK SCORING MATRIX</t>
  </si>
  <si>
    <t>Probability (1-5)</t>
  </si>
  <si>
    <t>Impact (1-5)</t>
  </si>
  <si>
    <t>Risk Level</t>
  </si>
  <si>
    <t>Financial Exposure ($)</t>
  </si>
  <si>
    <t>Priority</t>
  </si>
  <si>
    <t>Pro Adoption Below Target</t>
  </si>
  <si>
    <t>Consumer Conversion Failure</t>
  </si>
  <si>
    <t>Golf Participation Decline</t>
  </si>
  <si>
    <t>PGA Tour Brand Confusion</t>
  </si>
  <si>
    <t>Pro Quality Inconsistency</t>
  </si>
  <si>
    <t>Support Under-Resourcing</t>
  </si>
  <si>
    <t>Corporate Event Failure</t>
  </si>
  <si>
    <t>Creator Content Issues</t>
  </si>
  <si>
    <t>CAC Exceeds Threshold</t>
  </si>
  <si>
    <t>Margin Compression</t>
  </si>
  <si>
    <t>Venue Partnership Unprofitable</t>
  </si>
  <si>
    <t>Long Corporate Sales Cycle</t>
  </si>
  <si>
    <t>Website UX Underperformance</t>
  </si>
  <si>
    <t>Data Fragmentation</t>
  </si>
  <si>
    <t>Revenue Concentration</t>
  </si>
  <si>
    <t>Legal / Compliance Breach</t>
  </si>
  <si>
    <t>TOTAL RISK EXPOSURE</t>
  </si>
  <si>
    <t>Probability-Weighted Risk Exposure</t>
  </si>
  <si>
    <t>Risk Exposure as % of Y5 Revenue</t>
  </si>
  <si>
    <t>TABLE 5: Creator ROI — Conversion Rate vs Creator Cost/Month</t>
  </si>
  <si>
    <t>Conv% \ $/mo</t>
  </si>
  <si>
    <t>TABLE 6: EV ($M) — EBITDA Margin vs EV/EBITDA Multiple (at $5M Rev)</t>
  </si>
  <si>
    <t>Margin \ EV/EBITDA</t>
  </si>
  <si>
    <t>6x</t>
  </si>
  <si>
    <t>20x</t>
  </si>
  <si>
    <t>TABLE 7: Y5 Platform Rev ($K) — Pro Adoption vs Lessons/Week</t>
  </si>
  <si>
    <t>Adopt% \ Les/Wk</t>
  </si>
  <si>
    <t>TABLE 8: Annual Venue Bookings — Traffic per Venue vs Scan Rate (8 venues)</t>
  </si>
  <si>
    <t>Traffic \ Scan%</t>
  </si>
  <si>
    <t>Op Leverage</t>
  </si>
  <si>
    <t>Break-Even % of Revenue</t>
  </si>
  <si>
    <t>Revenue / Fixed Cost</t>
  </si>
  <si>
    <t>Margin ∆ (bps)</t>
  </si>
  <si>
    <t>Gross Margin ∆</t>
  </si>
  <si>
    <t>EBITDA Margin ∆</t>
  </si>
  <si>
    <t>FCF Margin ∆</t>
  </si>
  <si>
    <t>Customer Scale</t>
  </si>
  <si>
    <t>Total Consumers</t>
  </si>
  <si>
    <t>Corporate Clients</t>
  </si>
  <si>
    <t>SOTP Segment</t>
  </si>
  <si>
    <t>EXECUTIVE INVESTMENT SCORECARD</t>
  </si>
  <si>
    <t>Criterion</t>
  </si>
  <si>
    <t>Score (1-10)</t>
  </si>
  <si>
    <t>Weight</t>
  </si>
  <si>
    <t>Weighted Score</t>
  </si>
  <si>
    <t>Market Size &amp; Growth</t>
  </si>
  <si>
    <t>Revenue Model Strength</t>
  </si>
  <si>
    <t>Unit Economics (LTV/CAC)</t>
  </si>
  <si>
    <t>Scalability of Platform</t>
  </si>
  <si>
    <t>Competitive Moat</t>
  </si>
  <si>
    <t>Management &amp; Execution Risk</t>
  </si>
  <si>
    <t>Margin Profile &amp; Trajectory</t>
  </si>
  <si>
    <t>Downside Protection</t>
  </si>
  <si>
    <t>Exit Optionality</t>
  </si>
  <si>
    <t>OVERALL INVESTMENT SCORE</t>
  </si>
  <si>
    <t>INVESTMENT GRADE</t>
  </si>
  <si>
    <t>Risk Scoring</t>
  </si>
  <si>
    <t>Probability</t>
  </si>
  <si>
    <t>Pro Adoption</t>
  </si>
  <si>
    <t>Consumer Conv</t>
  </si>
  <si>
    <t>Golf Decline</t>
  </si>
  <si>
    <t>Brand Confusion</t>
  </si>
  <si>
    <t>Pro Quality</t>
  </si>
  <si>
    <t>Support</t>
  </si>
  <si>
    <t>Event Failure</t>
  </si>
  <si>
    <t>Creator Issues</t>
  </si>
  <si>
    <t>CAC Overrun</t>
  </si>
  <si>
    <t>Margin Compress</t>
  </si>
  <si>
    <t>Venue ROI</t>
  </si>
  <si>
    <t>Sales Cycle</t>
  </si>
  <si>
    <t>Website UX</t>
  </si>
  <si>
    <t>Data Fragment</t>
  </si>
  <si>
    <t>Legal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</si>
</sst>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164" formatCode="0.0%"/>
    <numFmt numFmtId="165" formatCode="&quot;$&quot;#,##0"/>
    <numFmt numFmtId="166" formatCode="&quot;$&quot;#,##0.0"/>
    <numFmt numFmtId="167" formatCode="0.0\x"/>
    <numFmt numFmtId="168" formatCode="&quot;$&quot;#,##0;\(&quot;$&quot;#,##0\);\-"/>
    <numFmt numFmtId="169" formatCode="&quot;$&quot;#,##0.00"/>
    <numFmt numFmtId="170" formatCode="0.0"/>
    <numFmt numFmtId="171" formatCode="0.0000"/>
    <numFmt numFmtId="172" formatCode="0.00\x"/>
  </numFmts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color rgb="FF0000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8000"/>
      <name val="Aptos Narrow"/>
      <family val="2"/>
      <scheme val="minor"/>
    </font>
    <font>
      <sz val="12"/>
      <color rgb="FFFF8C00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22"/>
      <color rgb="FFC5A23E"/>
      <name val="Aptos Narrow"/>
      <family val="2"/>
      <scheme val="minor"/>
    </font>
    <font>
      <sz val="12"/>
      <color rgb="FFC5A23E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9"/>
      <color rgb="FF80808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3" fillId="2" borderId="0" xfId="0" applyFont="1" applyFill="1"/>
    <xf numFmtId="0" fontId="0" fillId="0" borderId="0" xfId="0"/>
    <xf numFmtId="0" fontId="5" fillId="3" borderId="0" xfId="0" applyFont="1" applyFill="1"/>
    <xf numFmtId="0" fontId="0" fillId="3" borderId="0" xfId="0" applyFill="1"/>
    <xf numFmtId="0" fontId="1" fillId="0" borderId="0" xfId="0" applyFont="1"/>
    <xf numFmtId="0" fontId="6" fillId="4" borderId="0" xfId="0" applyFont="1" applyFill="1"/>
    <xf numFmtId="0" fontId="6" fillId="4" borderId="1" xfId="0" applyFont="1" applyFill="1" applyBorder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0" fontId="0" fillId="2" borderId="0" xfId="0" applyFill="1"/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5" fillId="5" borderId="0" xfId="0" applyFont="1" applyFill="1"/>
    <xf numFmtId="0" fontId="0" fillId="5" borderId="0" xfId="0" applyFill="1"/>
    <xf numFmtId="3" fontId="0" fillId="0" borderId="0" xfId="0" applyNumberFormat="1"/>
    <xf numFmtId="165" fontId="0" fillId="0" borderId="0" xfId="0" applyNumberFormat="1"/>
    <xf numFmtId="164" fontId="0" fillId="0" borderId="0" xfId="0" applyNumberFormat="1"/>
    <xf numFmtId="165" fontId="1" fillId="0" borderId="0" xfId="0" applyNumberFormat="1" applyFont="1"/>
    <xf numFmtId="0" fontId="1" fillId="4" borderId="0" xfId="0" applyFont="1" applyFill="1"/>
    <xf numFmtId="165" fontId="1" fillId="4" borderId="0" xfId="0" applyNumberFormat="1" applyFont="1" applyFill="1"/>
    <xf numFmtId="0" fontId="1" fillId="4" borderId="3" xfId="0" applyFont="1" applyFill="1" applyBorder="1"/>
    <xf numFmtId="165" fontId="1" fillId="4" borderId="3" xfId="0" applyNumberFormat="1" applyFont="1" applyFill="1" applyBorder="1"/>
    <xf numFmtId="0" fontId="5" fillId="6" borderId="0" xfId="0" applyFont="1" applyFill="1"/>
    <xf numFmtId="0" fontId="0" fillId="6" borderId="0" xfId="0" applyFill="1"/>
    <xf numFmtId="0" fontId="5" fillId="7" borderId="0" xfId="0" applyFont="1" applyFill="1"/>
    <xf numFmtId="0" fontId="0" fillId="7" borderId="0" xfId="0" applyFill="1"/>
    <xf numFmtId="0" fontId="5" fillId="8" borderId="0" xfId="0" applyFont="1" applyFill="1"/>
    <xf numFmtId="0" fontId="0" fillId="8" borderId="0" xfId="0" applyFill="1"/>
    <xf numFmtId="0" fontId="5" fillId="3" borderId="3" xfId="0" applyFont="1" applyFill="1" applyBorder="1"/>
    <xf numFmtId="165" fontId="5" fillId="3" borderId="3" xfId="0" applyNumberFormat="1" applyFont="1" applyFill="1" applyBorder="1"/>
    <xf numFmtId="0" fontId="1" fillId="9" borderId="3" xfId="0" applyFont="1" applyFill="1" applyBorder="1"/>
    <xf numFmtId="165" fontId="1" fillId="9" borderId="3" xfId="0" applyNumberFormat="1" applyFont="1" applyFill="1" applyBorder="1"/>
    <xf numFmtId="0" fontId="1" fillId="2" borderId="0" xfId="0" applyFont="1" applyFill="1"/>
    <xf numFmtId="165" fontId="1" fillId="2" borderId="0" xfId="0" applyNumberFormat="1" applyFont="1" applyFill="1"/>
    <xf numFmtId="0" fontId="1" fillId="2" borderId="2" xfId="0" applyFont="1" applyFill="1" applyBorder="1"/>
    <xf numFmtId="165" fontId="1" fillId="2" borderId="2" xfId="0" applyNumberFormat="1" applyFont="1" applyFill="1" applyBorder="1"/>
    <xf numFmtId="166" fontId="0" fillId="0" borderId="0" xfId="0" applyNumberFormat="1"/>
    <xf numFmtId="167" fontId="0" fillId="0" borderId="0" xfId="0" applyNumberFormat="1"/>
    <xf numFmtId="0" fontId="8" fillId="8" borderId="0" xfId="0" applyFont="1" applyFill="1"/>
    <xf numFmtId="0" fontId="8" fillId="8" borderId="4" xfId="0" applyFont="1" applyFill="1" applyBorder="1"/>
    <xf numFmtId="165" fontId="8" fillId="8" borderId="4" xfId="0" applyNumberFormat="1" applyFont="1" applyFill="1" applyBorder="1"/>
    <xf numFmtId="0" fontId="8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8" fillId="3" borderId="0" xfId="0" applyFont="1" applyFill="1"/>
    <xf numFmtId="0" fontId="0" fillId="4" borderId="0" xfId="0" applyFill="1"/>
    <xf numFmtId="164" fontId="0" fillId="4" borderId="0" xfId="0" applyNumberFormat="1" applyFill="1"/>
    <xf numFmtId="168" fontId="0" fillId="0" borderId="0" xfId="0" applyNumberFormat="1"/>
    <xf numFmtId="168" fontId="1" fillId="0" borderId="0" xfId="0" applyNumberFormat="1" applyFont="1"/>
    <xf numFmtId="0" fontId="1" fillId="2" borderId="1" xfId="0" applyFont="1" applyFill="1" applyBorder="1"/>
    <xf numFmtId="168" fontId="1" fillId="2" borderId="1" xfId="0" applyNumberFormat="1" applyFont="1" applyFill="1" applyBorder="1"/>
    <xf numFmtId="168" fontId="1" fillId="4" borderId="0" xfId="0" applyNumberFormat="1" applyFont="1" applyFill="1"/>
    <xf numFmtId="0" fontId="1" fillId="10" borderId="0" xfId="0" applyFont="1" applyFill="1"/>
    <xf numFmtId="168" fontId="1" fillId="10" borderId="0" xfId="0" applyNumberFormat="1" applyFont="1" applyFill="1"/>
    <xf numFmtId="0" fontId="0" fillId="10" borderId="0" xfId="0" applyFill="1"/>
    <xf numFmtId="164" fontId="0" fillId="10" borderId="0" xfId="0" applyNumberFormat="1" applyFill="1"/>
    <xf numFmtId="169" fontId="0" fillId="0" borderId="0" xfId="0" applyNumberFormat="1"/>
    <xf numFmtId="169" fontId="7" fillId="0" borderId="0" xfId="0" applyNumberFormat="1" applyFont="1"/>
    <xf numFmtId="170" fontId="0" fillId="0" borderId="0" xfId="0" applyNumberFormat="1"/>
    <xf numFmtId="164" fontId="9" fillId="0" borderId="0" xfId="0" applyNumberFormat="1" applyFont="1"/>
    <xf numFmtId="167" fontId="9" fillId="0" borderId="0" xfId="0" applyNumberFormat="1" applyFont="1"/>
    <xf numFmtId="164" fontId="9" fillId="10" borderId="0" xfId="0" applyNumberFormat="1" applyFont="1" applyFill="1"/>
    <xf numFmtId="167" fontId="9" fillId="10" borderId="0" xfId="0" applyNumberFormat="1" applyFont="1" applyFill="1"/>
    <xf numFmtId="0" fontId="0" fillId="3" borderId="0" xfId="0" applyFill="1"/>
    <xf numFmtId="1" fontId="0" fillId="0" borderId="0" xfId="0" applyNumberFormat="1"/>
    <xf numFmtId="171" fontId="0" fillId="0" borderId="0" xfId="0" applyNumberFormat="1"/>
    <xf numFmtId="0" fontId="9" fillId="0" borderId="0" xfId="0" applyFont="1"/>
    <xf numFmtId="165" fontId="1" fillId="10" borderId="0" xfId="0" applyNumberFormat="1" applyFont="1" applyFill="1"/>
    <xf numFmtId="165" fontId="9" fillId="0" borderId="0" xfId="0" applyNumberFormat="1" applyFont="1"/>
    <xf numFmtId="167" fontId="1" fillId="4" borderId="0" xfId="0" applyNumberFormat="1" applyFont="1" applyFill="1"/>
    <xf numFmtId="164" fontId="1" fillId="0" borderId="0" xfId="0" applyNumberFormat="1" applyFont="1"/>
    <xf numFmtId="164" fontId="1" fillId="4" borderId="0" xfId="0" applyNumberFormat="1" applyFont="1" applyFill="1"/>
    <xf numFmtId="9" fontId="0" fillId="0" borderId="0" xfId="0" applyNumberFormat="1"/>
    <xf numFmtId="9" fontId="7" fillId="0" borderId="0" xfId="0" applyNumberFormat="1" applyFont="1"/>
    <xf numFmtId="9" fontId="9" fillId="0" borderId="0" xfId="0" applyNumberFormat="1" applyFont="1"/>
    <xf numFmtId="9" fontId="10" fillId="0" borderId="0" xfId="0" applyNumberFormat="1" applyFont="1"/>
    <xf numFmtId="9" fontId="11" fillId="0" borderId="0" xfId="0" applyNumberFormat="1" applyFont="1"/>
    <xf numFmtId="0" fontId="10" fillId="0" borderId="0" xfId="0" applyFont="1"/>
    <xf numFmtId="0" fontId="11" fillId="0" borderId="0" xfId="0" applyFont="1"/>
    <xf numFmtId="6" fontId="0" fillId="0" borderId="0" xfId="0" applyNumberFormat="1"/>
    <xf numFmtId="6" fontId="7" fillId="0" borderId="0" xfId="0" applyNumberFormat="1" applyFont="1"/>
    <xf numFmtId="6" fontId="9" fillId="0" borderId="0" xfId="0" applyNumberFormat="1" applyFont="1"/>
    <xf numFmtId="6" fontId="10" fillId="0" borderId="0" xfId="0" applyNumberFormat="1" applyFont="1"/>
    <xf numFmtId="6" fontId="11" fillId="0" borderId="0" xfId="0" applyNumberFormat="1" applyFont="1"/>
    <xf numFmtId="164" fontId="10" fillId="0" borderId="0" xfId="0" applyNumberFormat="1" applyFont="1"/>
    <xf numFmtId="164" fontId="11" fillId="0" borderId="0" xfId="0" applyNumberFormat="1" applyFont="1"/>
    <xf numFmtId="167" fontId="7" fillId="0" borderId="0" xfId="0" applyNumberFormat="1" applyFont="1"/>
    <xf numFmtId="167" fontId="10" fillId="0" borderId="0" xfId="0" applyNumberFormat="1" applyFont="1"/>
    <xf numFmtId="167" fontId="11" fillId="0" borderId="0" xfId="0" applyNumberFormat="1" applyFont="1"/>
    <xf numFmtId="0" fontId="8" fillId="5" borderId="0" xfId="0" applyFont="1" applyFill="1"/>
    <xf numFmtId="0" fontId="0" fillId="5" borderId="0" xfId="0" applyFill="1"/>
    <xf numFmtId="165" fontId="0" fillId="11" borderId="0" xfId="0" applyNumberFormat="1" applyFill="1"/>
    <xf numFmtId="0" fontId="1" fillId="0" borderId="5" xfId="0" applyFont="1" applyBorder="1"/>
    <xf numFmtId="165" fontId="0" fillId="0" borderId="9" xfId="0" applyNumberFormat="1" applyBorder="1"/>
    <xf numFmtId="165" fontId="0" fillId="11" borderId="9" xfId="0" applyNumberFormat="1" applyFill="1" applyBorder="1"/>
    <xf numFmtId="0" fontId="1" fillId="0" borderId="8" xfId="0" applyFont="1" applyBorder="1"/>
    <xf numFmtId="164" fontId="1" fillId="0" borderId="9" xfId="0" applyNumberFormat="1" applyFont="1" applyBorder="1"/>
    <xf numFmtId="0" fontId="1" fillId="0" borderId="9" xfId="0" applyFont="1" applyBorder="1"/>
    <xf numFmtId="0" fontId="0" fillId="6" borderId="0" xfId="0" applyFill="1"/>
    <xf numFmtId="0" fontId="8" fillId="6" borderId="0" xfId="0" applyFont="1" applyFill="1"/>
    <xf numFmtId="0" fontId="1" fillId="0" borderId="6" xfId="0" applyFont="1" applyBorder="1"/>
    <xf numFmtId="0" fontId="1" fillId="0" borderId="7" xfId="0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11" borderId="9" xfId="0" applyNumberFormat="1" applyFill="1" applyBorder="1"/>
    <xf numFmtId="0" fontId="1" fillId="0" borderId="11" xfId="0" applyFont="1" applyBorder="1"/>
    <xf numFmtId="167" fontId="0" fillId="0" borderId="12" xfId="0" applyNumberFormat="1" applyBorder="1"/>
    <xf numFmtId="167" fontId="0" fillId="0" borderId="13" xfId="0" applyNumberFormat="1" applyBorder="1"/>
    <xf numFmtId="0" fontId="0" fillId="7" borderId="0" xfId="0" applyFill="1"/>
    <xf numFmtId="0" fontId="8" fillId="7" borderId="0" xfId="0" applyFont="1" applyFill="1" applyBorder="1"/>
    <xf numFmtId="9" fontId="1" fillId="0" borderId="0" xfId="0" applyNumberFormat="1" applyFont="1"/>
    <xf numFmtId="6" fontId="1" fillId="0" borderId="0" xfId="0" applyNumberFormat="1" applyFont="1"/>
    <xf numFmtId="0" fontId="0" fillId="8" borderId="0" xfId="0" applyFill="1"/>
    <xf numFmtId="0" fontId="8" fillId="3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0" fillId="12" borderId="0" xfId="0" applyFill="1" applyAlignment="1">
      <alignment vertical="top" wrapText="1"/>
    </xf>
    <xf numFmtId="0" fontId="0" fillId="13" borderId="0" xfId="0" applyFill="1" applyAlignment="1">
      <alignment vertical="top" wrapText="1"/>
    </xf>
    <xf numFmtId="0" fontId="0" fillId="14" borderId="0" xfId="0" applyFill="1" applyAlignment="1">
      <alignment vertical="top" wrapText="1"/>
    </xf>
    <xf numFmtId="0" fontId="12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4" borderId="0" xfId="0" applyFont="1" applyFill="1"/>
    <xf numFmtId="165" fontId="0" fillId="10" borderId="0" xfId="0" applyNumberFormat="1" applyFill="1"/>
    <xf numFmtId="165" fontId="0" fillId="10" borderId="0" xfId="0" applyNumberFormat="1" applyFont="1" applyFill="1"/>
    <xf numFmtId="167" fontId="16" fillId="4" borderId="0" xfId="0" applyNumberFormat="1" applyFont="1" applyFill="1"/>
    <xf numFmtId="164" fontId="16" fillId="4" borderId="0" xfId="0" applyNumberFormat="1" applyFont="1" applyFill="1"/>
    <xf numFmtId="0" fontId="17" fillId="0" borderId="0" xfId="0" applyFont="1" applyAlignment="1">
      <alignment wrapText="1"/>
    </xf>
    <xf numFmtId="0" fontId="17" fillId="0" borderId="0" xfId="0" applyFont="1" applyFill="1" applyBorder="1" applyAlignment="1">
      <alignment wrapText="1"/>
    </xf>
    <xf numFmtId="0" fontId="14" fillId="0" borderId="0" xfId="0" applyFont="1"/>
    <xf numFmtId="0" fontId="18" fillId="4" borderId="4" xfId="0" applyFont="1" applyFill="1" applyBorder="1"/>
    <xf numFmtId="0" fontId="18" fillId="4" borderId="0" xfId="0" applyFont="1" applyFill="1"/>
    <xf numFmtId="0" fontId="14" fillId="4" borderId="0" xfId="0" applyFont="1" applyFill="1"/>
    <xf numFmtId="0" fontId="18" fillId="10" borderId="0" xfId="0" applyFont="1" applyFill="1"/>
    <xf numFmtId="0" fontId="14" fillId="10" borderId="0" xfId="0" applyFont="1" applyFill="1"/>
    <xf numFmtId="168" fontId="0" fillId="0" borderId="0" xfId="0" applyNumberFormat="1" applyAlignment="1">
      <alignment horizontal="center"/>
    </xf>
    <xf numFmtId="168" fontId="4" fillId="4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8" fontId="1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8" fontId="1" fillId="10" borderId="0" xfId="0" applyNumberFormat="1" applyFont="1" applyFill="1" applyAlignment="1">
      <alignment horizontal="center"/>
    </xf>
    <xf numFmtId="164" fontId="0" fillId="10" borderId="0" xfId="0" applyNumberFormat="1" applyFill="1" applyAlignment="1">
      <alignment horizontal="center"/>
    </xf>
    <xf numFmtId="10" fontId="0" fillId="0" borderId="0" xfId="0" applyNumberFormat="1"/>
    <xf numFmtId="172" fontId="7" fillId="0" borderId="0" xfId="0" applyNumberFormat="1" applyFont="1"/>
    <xf numFmtId="0" fontId="8" fillId="15" borderId="0" xfId="0" applyFont="1" applyFill="1"/>
    <xf numFmtId="0" fontId="0" fillId="15" borderId="0" xfId="0" applyFill="1"/>
    <xf numFmtId="3" fontId="1" fillId="0" borderId="0" xfId="0" applyNumberFormat="1" applyFont="1"/>
    <xf numFmtId="3" fontId="1" fillId="4" borderId="0" xfId="0" applyNumberFormat="1" applyFont="1" applyFill="1"/>
    <xf numFmtId="172" fontId="1" fillId="0" borderId="0" xfId="0" applyNumberFormat="1" applyFont="1"/>
    <xf numFmtId="0" fontId="0" fillId="2" borderId="0" xfId="0" applyFill="1"/>
    <xf numFmtId="169" fontId="1" fillId="4" borderId="0" xfId="0" applyNumberFormat="1" applyFont="1" applyFill="1"/>
    <xf numFmtId="0" fontId="19" fillId="0" borderId="0" xfId="0" applyFont="1"/>
    <xf numFmtId="164" fontId="1" fillId="4" borderId="3" xfId="0" applyNumberFormat="1" applyFont="1" applyFill="1" applyBorder="1"/>
    <xf numFmtId="0" fontId="1" fillId="9" borderId="14" xfId="0" applyFont="1" applyFill="1" applyBorder="1"/>
    <xf numFmtId="0" fontId="0" fillId="9" borderId="14" xfId="0" applyFill="1" applyBorder="1"/>
    <xf numFmtId="170" fontId="0" fillId="9" borderId="14" xfId="0" applyNumberFormat="1" applyFill="1" applyBorder="1"/>
    <xf numFmtId="165" fontId="1" fillId="9" borderId="14" xfId="0" applyNumberFormat="1" applyFont="1" applyFill="1" applyBorder="1"/>
    <xf numFmtId="164" fontId="0" fillId="11" borderId="0" xfId="0" applyNumberFormat="1" applyFill="1"/>
    <xf numFmtId="0" fontId="0" fillId="15" borderId="0" xfId="0" applyFill="1"/>
    <xf numFmtId="0" fontId="8" fillId="15" borderId="0" xfId="0" applyFont="1" applyFill="1"/>
    <xf numFmtId="166" fontId="0" fillId="11" borderId="0" xfId="0" applyNumberFormat="1" applyFill="1"/>
    <xf numFmtId="0" fontId="8" fillId="7" borderId="0" xfId="0" applyFont="1" applyFill="1"/>
    <xf numFmtId="3" fontId="0" fillId="11" borderId="0" xfId="0" applyNumberFormat="1" applyFill="1"/>
    <xf numFmtId="2" fontId="0" fillId="0" borderId="0" xfId="0" applyNumberFormat="1"/>
    <xf numFmtId="2" fontId="1" fillId="0" borderId="0" xfId="0" applyNumberFormat="1" applyFont="1"/>
    <xf numFmtId="0" fontId="4" fillId="4" borderId="14" xfId="0" applyFont="1" applyFill="1" applyBorder="1"/>
    <xf numFmtId="0" fontId="0" fillId="4" borderId="14" xfId="0" applyFill="1" applyBorder="1"/>
    <xf numFmtId="9" fontId="0" fillId="4" borderId="14" xfId="0" applyNumberFormat="1" applyFill="1" applyBorder="1"/>
    <xf numFmtId="2" fontId="2" fillId="4" borderId="1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10-Year Revenue by Segment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'Chart Data'!$A$3</c:f>
              <c:strCache>
                <c:ptCount val="1"/>
                <c:pt idx="0">
                  <c:v>Platform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Data'!$B$3:$K$3</c:f>
              <c:numCache>
                <c:formatCode>General</c:formatCode>
                <c:ptCount val="10"/>
                <c:pt idx="0">
                  <c:v>265097.44799999992</c:v>
                </c:pt>
                <c:pt idx="1">
                  <c:v>460846.94040000002</c:v>
                </c:pt>
                <c:pt idx="2">
                  <c:v>768382.19377919985</c:v>
                </c:pt>
                <c:pt idx="3">
                  <c:v>1000032.1884907201</c:v>
                </c:pt>
                <c:pt idx="4">
                  <c:v>1352494.438289074</c:v>
                </c:pt>
                <c:pt idx="5">
                  <c:v>1503162.3309637271</c:v>
                </c:pt>
                <c:pt idx="6">
                  <c:v>1665684.0003563988</c:v>
                </c:pt>
                <c:pt idx="7">
                  <c:v>1832755.8099915632</c:v>
                </c:pt>
                <c:pt idx="8">
                  <c:v>1933170.5677025933</c:v>
                </c:pt>
                <c:pt idx="9">
                  <c:v>2066507.0118649029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6-8942-BF75-2A3EC8E49D20}"/>
            </c:ext>
          </c:extLst>
        </c:ser>
        <c:ser>
          <c:idx val="1"/>
          <c:order val="1"/>
          <c:tx>
            <c:strRef>
              <c:f>'Chart Data'!$A$4</c:f>
              <c:strCache>
                <c:ptCount val="1"/>
                <c:pt idx="0">
                  <c:v>Creator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Data'!$B$4:$K$4</c:f>
              <c:numCache>
                <c:formatCode>General</c:formatCode>
                <c:ptCount val="10"/>
                <c:pt idx="0">
                  <c:v>979.19999999999993</c:v>
                </c:pt>
                <c:pt idx="1">
                  <c:v>1815.4368000000002</c:v>
                </c:pt>
                <c:pt idx="2">
                  <c:v>63116.499839999997</c:v>
                </c:pt>
                <c:pt idx="3">
                  <c:v>118065.99345792001</c:v>
                </c:pt>
                <c:pt idx="4">
                  <c:v>205510.49113375999</c:v>
                </c:pt>
                <c:pt idx="5">
                  <c:v>281243.38645455008</c:v>
                </c:pt>
                <c:pt idx="6">
                  <c:v>367015.2960525672</c:v>
                </c:pt>
                <c:pt idx="7">
                  <c:v>462827.9011786562</c:v>
                </c:pt>
                <c:pt idx="8">
                  <c:v>552434.86459312437</c:v>
                </c:pt>
                <c:pt idx="9">
                  <c:v>708943.43731123919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6-8942-BF75-2A3EC8E49D20}"/>
            </c:ext>
          </c:extLst>
        </c:ser>
        <c:ser>
          <c:idx val="2"/>
          <c:order val="2"/>
          <c:tx>
            <c:strRef>
              <c:f>'Chart Data'!$A$5</c:f>
              <c:strCache>
                <c:ptCount val="1"/>
                <c:pt idx="0">
                  <c:v>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Data'!$B$5:$K$5</c:f>
              <c:numCache>
                <c:formatCode>General</c:formatCode>
                <c:ptCount val="10"/>
                <c:pt idx="0">
                  <c:v>131224</c:v>
                </c:pt>
                <c:pt idx="1">
                  <c:v>196891.08000000002</c:v>
                </c:pt>
                <c:pt idx="2">
                  <c:v>328246.35399999999</c:v>
                </c:pt>
                <c:pt idx="3">
                  <c:v>394012.49354399997</c:v>
                </c:pt>
                <c:pt idx="4">
                  <c:v>525510.49113375996</c:v>
                </c:pt>
                <c:pt idx="5">
                  <c:v>525675.80586777278</c:v>
                </c:pt>
                <c:pt idx="6">
                  <c:v>525846.080043806</c:v>
                </c:pt>
                <c:pt idx="7">
                  <c:v>526021.46244512009</c:v>
                </c:pt>
                <c:pt idx="8">
                  <c:v>526202.10631847382</c:v>
                </c:pt>
                <c:pt idx="9">
                  <c:v>526388.16950802796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6-8942-BF75-2A3EC8E49D20}"/>
            </c:ext>
          </c:extLst>
        </c:ser>
        <c:ser>
          <c:idx val="3"/>
          <c:order val="3"/>
          <c:tx>
            <c:strRef>
              <c:f>'Chart Data'!$A$6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Data'!$B$6:$K$6</c:f>
              <c:numCache>
                <c:formatCode>General</c:formatCode>
                <c:ptCount val="10"/>
                <c:pt idx="0">
                  <c:v>187500</c:v>
                </c:pt>
                <c:pt idx="1">
                  <c:v>546000</c:v>
                </c:pt>
                <c:pt idx="2">
                  <c:v>910000</c:v>
                </c:pt>
                <c:pt idx="3">
                  <c:v>1365000</c:v>
                </c:pt>
                <c:pt idx="4">
                  <c:v>2047500</c:v>
                </c:pt>
                <c:pt idx="5">
                  <c:v>2366000</c:v>
                </c:pt>
                <c:pt idx="6">
                  <c:v>2639000</c:v>
                </c:pt>
                <c:pt idx="7">
                  <c:v>2957500</c:v>
                </c:pt>
                <c:pt idx="8">
                  <c:v>3276000</c:v>
                </c:pt>
                <c:pt idx="9">
                  <c:v>3640000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56-8942-BF75-2A3EC8E49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480224"/>
        <c:axId val="626481936"/>
      </c:areaChart>
      <c:catAx>
        <c:axId val="62648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81936"/>
        <c:crosses val="autoZero"/>
        <c:auto val="1"/>
        <c:lblAlgn val="ctr"/>
        <c:lblOffset val="100"/>
        <c:noMultiLvlLbl val="0"/>
      </c:catAx>
      <c:valAx>
        <c:axId val="62648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8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Evolution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Data'!$A$10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Data'!$B$9:$K$9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Data'!$B$10:$K$10</c:f>
              <c:numCache>
                <c:formatCode>General</c:formatCode>
                <c:ptCount val="10"/>
                <c:pt idx="0">
                  <c:v>0.49649978335865308</c:v>
                </c:pt>
                <c:pt idx="1">
                  <c:v>0.51695192140501622</c:v>
                </c:pt>
                <c:pt idx="2">
                  <c:v>0.53140400386800424</c:v>
                </c:pt>
                <c:pt idx="3">
                  <c:v>0.53951524116999794</c:v>
                </c:pt>
                <c:pt idx="4">
                  <c:v>0.54815337061449176</c:v>
                </c:pt>
                <c:pt idx="5">
                  <c:v>0.55170929909724564</c:v>
                </c:pt>
                <c:pt idx="6">
                  <c:v>0.55609957795886389</c:v>
                </c:pt>
                <c:pt idx="7">
                  <c:v>0.56032547979515201</c:v>
                </c:pt>
                <c:pt idx="8">
                  <c:v>0.56411878440347629</c:v>
                </c:pt>
                <c:pt idx="9">
                  <c:v>0.57362193015801088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7-F346-8468-31907003EA3B}"/>
            </c:ext>
          </c:extLst>
        </c:ser>
        <c:ser>
          <c:idx val="1"/>
          <c:order val="1"/>
          <c:tx>
            <c:strRef>
              <c:f>'Chart Data'!$A$11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Data'!$B$9:$K$9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Data'!$B$11:$K$11</c:f>
              <c:numCache>
                <c:formatCode>General</c:formatCode>
                <c:ptCount val="10"/>
                <c:pt idx="0">
                  <c:v>-1.2237445485183529</c:v>
                </c:pt>
                <c:pt idx="1">
                  <c:v>-0.54028033352978377</c:v>
                </c:pt>
                <c:pt idx="2">
                  <c:v>-0.10622887826792669</c:v>
                </c:pt>
                <c:pt idx="3">
                  <c:v>-1.9499910401785552E-3</c:v>
                </c:pt>
                <c:pt idx="4">
                  <c:v>0.1578729249213667</c:v>
                </c:pt>
                <c:pt idx="5">
                  <c:v>0.19485734543682992</c:v>
                </c:pt>
                <c:pt idx="6">
                  <c:v>0.1835896934892256</c:v>
                </c:pt>
                <c:pt idx="7">
                  <c:v>0.21371601145990185</c:v>
                </c:pt>
                <c:pt idx="8">
                  <c:v>0.19925629397534816</c:v>
                </c:pt>
                <c:pt idx="9">
                  <c:v>0.23181170425343259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67-F346-8468-31907003EA3B}"/>
            </c:ext>
          </c:extLst>
        </c:ser>
        <c:ser>
          <c:idx val="2"/>
          <c:order val="2"/>
          <c:tx>
            <c:strRef>
              <c:f>'Chart Data'!$A$12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Data'!$B$9:$K$9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Data'!$B$12:$K$12</c:f>
              <c:numCache>
                <c:formatCode>General</c:formatCode>
                <c:ptCount val="10"/>
                <c:pt idx="0">
                  <c:v>-1.353744548518353</c:v>
                </c:pt>
                <c:pt idx="1">
                  <c:v>-0.63147321837401138</c:v>
                </c:pt>
                <c:pt idx="2">
                  <c:v>-0.18963170114848457</c:v>
                </c:pt>
                <c:pt idx="3">
                  <c:v>-7.4399336065397573E-2</c:v>
                </c:pt>
                <c:pt idx="4">
                  <c:v>5.1621952187339094E-2</c:v>
                </c:pt>
                <c:pt idx="5">
                  <c:v>9.4317832003354155E-2</c:v>
                </c:pt>
                <c:pt idx="6">
                  <c:v>8.7165960535797504E-2</c:v>
                </c:pt>
                <c:pt idx="7">
                  <c:v>0.10973649171120266</c:v>
                </c:pt>
                <c:pt idx="8">
                  <c:v>0.10046998211384674</c:v>
                </c:pt>
                <c:pt idx="9">
                  <c:v>0.12382151187207469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67-F346-8468-31907003E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4963792"/>
        <c:axId val="1611986319"/>
      </c:lineChart>
      <c:catAx>
        <c:axId val="129496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86319"/>
        <c:crosses val="autoZero"/>
        <c:auto val="1"/>
        <c:lblAlgn val="ctr"/>
        <c:lblOffset val="100"/>
        <c:noMultiLvlLbl val="0"/>
      </c:catAx>
      <c:valAx>
        <c:axId val="16119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96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EBITDA Comparison — Year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Data'!$A$40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Data'!$B$40:$E$40</c:f>
              <c:numCache>
                <c:formatCode>General</c:formatCode>
                <c:ptCount val="4"/>
                <c:pt idx="0">
                  <c:v>4131015.4205565937</c:v>
                </c:pt>
                <c:pt idx="1">
                  <c:v>5783421.5887792306</c:v>
                </c:pt>
                <c:pt idx="2">
                  <c:v>2478609.2523339563</c:v>
                </c:pt>
                <c:pt idx="3">
                  <c:v>1445855.3971948077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7-6141-8020-7D6249D8EE2A}"/>
            </c:ext>
          </c:extLst>
        </c:ser>
        <c:ser>
          <c:idx val="1"/>
          <c:order val="1"/>
          <c:tx>
            <c:strRef>
              <c:f>'Chart Data'!$A$41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Data'!$B$41:$E$41</c:f>
              <c:numCache>
                <c:formatCode>General</c:formatCode>
                <c:ptCount val="4"/>
                <c:pt idx="0">
                  <c:v>652175.48733853921</c:v>
                </c:pt>
                <c:pt idx="1">
                  <c:v>1619358.0448581846</c:v>
                </c:pt>
                <c:pt idx="2">
                  <c:v>123930.46261669783</c:v>
                </c:pt>
                <c:pt idx="3">
                  <c:v>-144585.53971948076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57-6141-8020-7D6249D8E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4986735"/>
        <c:axId val="1804988447"/>
      </c:barChart>
      <c:catAx>
        <c:axId val="180498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88447"/>
        <c:crosses val="autoZero"/>
        <c:auto val="1"/>
        <c:lblAlgn val="ctr"/>
        <c:lblOffset val="100"/>
        <c:noMultiLvlLbl val="0"/>
      </c:catAx>
      <c:valAx>
        <c:axId val="180498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8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Composition by Segment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Data'!$A$3</c:f>
              <c:strCache>
                <c:ptCount val="1"/>
                <c:pt idx="0">
                  <c:v>Platform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Data'!$B$3:$K$3</c:f>
              <c:numCache>
                <c:formatCode>General</c:formatCode>
                <c:ptCount val="10"/>
                <c:pt idx="0">
                  <c:v>265097.44799999992</c:v>
                </c:pt>
                <c:pt idx="1">
                  <c:v>460846.94040000002</c:v>
                </c:pt>
                <c:pt idx="2">
                  <c:v>768382.19377919985</c:v>
                </c:pt>
                <c:pt idx="3">
                  <c:v>1000032.1884907201</c:v>
                </c:pt>
                <c:pt idx="4">
                  <c:v>1352494.438289074</c:v>
                </c:pt>
                <c:pt idx="5">
                  <c:v>1503162.3309637271</c:v>
                </c:pt>
                <c:pt idx="6">
                  <c:v>1665684.0003563988</c:v>
                </c:pt>
                <c:pt idx="7">
                  <c:v>1832755.8099915632</c:v>
                </c:pt>
                <c:pt idx="8">
                  <c:v>1933170.5677025933</c:v>
                </c:pt>
                <c:pt idx="9">
                  <c:v>2066507.0118649029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6-F44F-A462-456F6AA20FA0}"/>
            </c:ext>
          </c:extLst>
        </c:ser>
        <c:ser>
          <c:idx val="1"/>
          <c:order val="1"/>
          <c:tx>
            <c:strRef>
              <c:f>'Chart Data'!$A$4</c:f>
              <c:strCache>
                <c:ptCount val="1"/>
                <c:pt idx="0">
                  <c:v>Creator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Data'!$B$4:$K$4</c:f>
              <c:numCache>
                <c:formatCode>General</c:formatCode>
                <c:ptCount val="10"/>
                <c:pt idx="0">
                  <c:v>979.19999999999993</c:v>
                </c:pt>
                <c:pt idx="1">
                  <c:v>1815.4368000000002</c:v>
                </c:pt>
                <c:pt idx="2">
                  <c:v>63116.499839999997</c:v>
                </c:pt>
                <c:pt idx="3">
                  <c:v>118065.99345792001</c:v>
                </c:pt>
                <c:pt idx="4">
                  <c:v>205510.49113375999</c:v>
                </c:pt>
                <c:pt idx="5">
                  <c:v>281243.38645455008</c:v>
                </c:pt>
                <c:pt idx="6">
                  <c:v>367015.2960525672</c:v>
                </c:pt>
                <c:pt idx="7">
                  <c:v>462827.9011786562</c:v>
                </c:pt>
                <c:pt idx="8">
                  <c:v>552434.86459312437</c:v>
                </c:pt>
                <c:pt idx="9">
                  <c:v>708943.43731123919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6-F44F-A462-456F6AA20FA0}"/>
            </c:ext>
          </c:extLst>
        </c:ser>
        <c:ser>
          <c:idx val="2"/>
          <c:order val="2"/>
          <c:tx>
            <c:strRef>
              <c:f>'Chart Data'!$A$5</c:f>
              <c:strCache>
                <c:ptCount val="1"/>
                <c:pt idx="0">
                  <c:v>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Data'!$B$5:$K$5</c:f>
              <c:numCache>
                <c:formatCode>General</c:formatCode>
                <c:ptCount val="10"/>
                <c:pt idx="0">
                  <c:v>131224</c:v>
                </c:pt>
                <c:pt idx="1">
                  <c:v>196891.08000000002</c:v>
                </c:pt>
                <c:pt idx="2">
                  <c:v>328246.35399999999</c:v>
                </c:pt>
                <c:pt idx="3">
                  <c:v>394012.49354399997</c:v>
                </c:pt>
                <c:pt idx="4">
                  <c:v>525510.49113375996</c:v>
                </c:pt>
                <c:pt idx="5">
                  <c:v>525675.80586777278</c:v>
                </c:pt>
                <c:pt idx="6">
                  <c:v>525846.080043806</c:v>
                </c:pt>
                <c:pt idx="7">
                  <c:v>526021.46244512009</c:v>
                </c:pt>
                <c:pt idx="8">
                  <c:v>526202.10631847382</c:v>
                </c:pt>
                <c:pt idx="9">
                  <c:v>526388.16950802796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56-F44F-A462-456F6AA20FA0}"/>
            </c:ext>
          </c:extLst>
        </c:ser>
        <c:ser>
          <c:idx val="3"/>
          <c:order val="3"/>
          <c:tx>
            <c:strRef>
              <c:f>'Chart Data'!$A$6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Data'!$B$6:$K$6</c:f>
              <c:numCache>
                <c:formatCode>General</c:formatCode>
                <c:ptCount val="10"/>
                <c:pt idx="0">
                  <c:v>187500</c:v>
                </c:pt>
                <c:pt idx="1">
                  <c:v>546000</c:v>
                </c:pt>
                <c:pt idx="2">
                  <c:v>910000</c:v>
                </c:pt>
                <c:pt idx="3">
                  <c:v>1365000</c:v>
                </c:pt>
                <c:pt idx="4">
                  <c:v>2047500</c:v>
                </c:pt>
                <c:pt idx="5">
                  <c:v>2366000</c:v>
                </c:pt>
                <c:pt idx="6">
                  <c:v>2639000</c:v>
                </c:pt>
                <c:pt idx="7">
                  <c:v>2957500</c:v>
                </c:pt>
                <c:pt idx="8">
                  <c:v>3276000</c:v>
                </c:pt>
                <c:pt idx="9">
                  <c:v>3640000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56-F44F-A462-456F6AA20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1452383"/>
        <c:axId val="557008288"/>
      </c:barChart>
      <c:catAx>
        <c:axId val="17814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008288"/>
        <c:crosses val="autoZero"/>
        <c:auto val="1"/>
        <c:lblAlgn val="ctr"/>
        <c:lblOffset val="100"/>
        <c:noMultiLvlLbl val="0"/>
      </c:catAx>
      <c:valAx>
        <c:axId val="55700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Growth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Data'!$B$15:$K$15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Data'!$B$16:$K$16</c:f>
              <c:numCache>
                <c:formatCode>General</c:formatCode>
                <c:ptCount val="10"/>
                <c:pt idx="0">
                  <c:v>584800.64799999993</c:v>
                </c:pt>
                <c:pt idx="1">
                  <c:v>1205553.4572000001</c:v>
                </c:pt>
                <c:pt idx="2">
                  <c:v>2069745.0476191998</c:v>
                </c:pt>
                <c:pt idx="3">
                  <c:v>2877110.6754926401</c:v>
                </c:pt>
                <c:pt idx="4">
                  <c:v>4131015.4205565937</c:v>
                </c:pt>
                <c:pt idx="5">
                  <c:v>4676081.5232860502</c:v>
                </c:pt>
                <c:pt idx="6">
                  <c:v>5197545.3764527719</c:v>
                </c:pt>
                <c:pt idx="7">
                  <c:v>5779105.1736153392</c:v>
                </c:pt>
                <c:pt idx="8">
                  <c:v>6287807.5386141911</c:v>
                </c:pt>
                <c:pt idx="9">
                  <c:v>6941838.6186841698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4-1A4A-A5FD-938450CCC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5505647"/>
        <c:axId val="557260752"/>
      </c:barChart>
      <c:catAx>
        <c:axId val="176550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260752"/>
        <c:crosses val="autoZero"/>
        <c:auto val="1"/>
        <c:lblAlgn val="ctr"/>
        <c:lblOffset val="100"/>
        <c:noMultiLvlLbl val="0"/>
      </c:catAx>
      <c:valAx>
        <c:axId val="5572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0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Venue Conversion Funnel — Year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Data'!$B$72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Data'!$A$73:$A$77</c:f>
              <c:strCache>
                <c:ptCount val="5"/>
                <c:pt idx="0">
                  <c:v>Venue Foot Traffic</c:v>
                </c:pt>
                <c:pt idx="1">
                  <c:v>Exposed to PGA Content</c:v>
                </c:pt>
                <c:pt idx="2">
                  <c:v>QR Scan / Engage</c:v>
                </c:pt>
                <c:pt idx="3">
                  <c:v>Site Visits</c:v>
                </c:pt>
                <c:pt idx="4">
                  <c:v>Bookings</c:v>
                </c:pt>
              </c:strCache>
            </c:strRef>
          </c:cat>
          <c:val>
            <c:numRef>
              <c:f>'Chart Data'!$B$73:$B$77</c:f>
              <c:numCache>
                <c:formatCode>General</c:formatCode>
                <c:ptCount val="5"/>
                <c:pt idx="0">
                  <c:v>4000000</c:v>
                </c:pt>
                <c:pt idx="1">
                  <c:v>1200000</c:v>
                </c:pt>
                <c:pt idx="2">
                  <c:v>24000</c:v>
                </c:pt>
                <c:pt idx="3">
                  <c:v>9600</c:v>
                </c:pt>
                <c:pt idx="4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8-8740-A984-74DA74C68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4099248"/>
        <c:axId val="1251738335"/>
      </c:barChart>
      <c:catAx>
        <c:axId val="43409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38335"/>
        <c:crosses val="autoZero"/>
        <c:auto val="1"/>
        <c:lblAlgn val="ctr"/>
        <c:lblOffset val="100"/>
        <c:noMultiLvlLbl val="0"/>
      </c:catAx>
      <c:valAx>
        <c:axId val="125173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9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Creator Conversion Funnel — Year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Data'!$B$80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Data'!$A$81:$A$85</c:f>
              <c:strCache>
                <c:ptCount val="5"/>
                <c:pt idx="0">
                  <c:v>Monthly Impressions</c:v>
                </c:pt>
                <c:pt idx="1">
                  <c:v>Engaged Users</c:v>
                </c:pt>
                <c:pt idx="2">
                  <c:v>Website Clicks</c:v>
                </c:pt>
                <c:pt idx="3">
                  <c:v>Inquiries</c:v>
                </c:pt>
                <c:pt idx="4">
                  <c:v>Monthly Bookings</c:v>
                </c:pt>
              </c:strCache>
            </c:strRef>
          </c:cat>
          <c:val>
            <c:numRef>
              <c:f>'Chart Data'!$B$81:$B$85</c:f>
              <c:numCache>
                <c:formatCode>General</c:formatCode>
                <c:ptCount val="5"/>
                <c:pt idx="0">
                  <c:v>2500000</c:v>
                </c:pt>
                <c:pt idx="1">
                  <c:v>100000</c:v>
                </c:pt>
                <c:pt idx="2">
                  <c:v>2000</c:v>
                </c:pt>
                <c:pt idx="3">
                  <c:v>160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B-814B-8473-4EA722F97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5411967"/>
        <c:axId val="1765030015"/>
      </c:barChart>
      <c:catAx>
        <c:axId val="176541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030015"/>
        <c:crosses val="autoZero"/>
        <c:auto val="1"/>
        <c:lblAlgn val="ctr"/>
        <c:lblOffset val="100"/>
        <c:noMultiLvlLbl val="0"/>
      </c:catAx>
      <c:valAx>
        <c:axId val="176503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41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 vs Platform Revenue ($000s)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Data'!$A$89</c:f>
              <c:strCache>
                <c:ptCount val="1"/>
                <c:pt idx="0">
                  <c:v>GMV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Data'!$B$88:$K$88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Data'!$B$89:$K$89</c:f>
              <c:numCache>
                <c:formatCode>General</c:formatCode>
                <c:ptCount val="10"/>
                <c:pt idx="0">
                  <c:v>1979.2079999999996</c:v>
                </c:pt>
                <c:pt idx="1">
                  <c:v>3397.6403999999998</c:v>
                </c:pt>
                <c:pt idx="2">
                  <c:v>5599.3113791999995</c:v>
                </c:pt>
                <c:pt idx="3">
                  <c:v>7209.1134007200008</c:v>
                </c:pt>
                <c:pt idx="4">
                  <c:v>9653.0028435640797</c:v>
                </c:pt>
                <c:pt idx="5">
                  <c:v>10707.407769553389</c:v>
                </c:pt>
                <c:pt idx="6">
                  <c:v>11816.389288542849</c:v>
                </c:pt>
                <c:pt idx="7">
                  <c:v>12982.273031679073</c:v>
                </c:pt>
                <c:pt idx="8">
                  <c:v>13706.034753195185</c:v>
                </c:pt>
                <c:pt idx="9">
                  <c:v>14633.699300515102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D-F745-B479-524C0E6D730D}"/>
            </c:ext>
          </c:extLst>
        </c:ser>
        <c:ser>
          <c:idx val="1"/>
          <c:order val="1"/>
          <c:tx>
            <c:strRef>
              <c:f>'Chart Data'!$A$90</c:f>
              <c:strCache>
                <c:ptCount val="1"/>
                <c:pt idx="0">
                  <c:v>Platform Revenue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Data'!$B$88:$K$88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Data'!$B$90:$K$90</c:f>
              <c:numCache>
                <c:formatCode>General</c:formatCode>
                <c:ptCount val="10"/>
                <c:pt idx="0">
                  <c:v>265.09744799999993</c:v>
                </c:pt>
                <c:pt idx="1">
                  <c:v>460.84694039999999</c:v>
                </c:pt>
                <c:pt idx="2">
                  <c:v>768.38219377919984</c:v>
                </c:pt>
                <c:pt idx="3">
                  <c:v>1000.0321884907202</c:v>
                </c:pt>
                <c:pt idx="4">
                  <c:v>1352.494438289074</c:v>
                </c:pt>
                <c:pt idx="5">
                  <c:v>1503.1623309637271</c:v>
                </c:pt>
                <c:pt idx="6">
                  <c:v>1665.6840003563987</c:v>
                </c:pt>
                <c:pt idx="7">
                  <c:v>1832.7558099915632</c:v>
                </c:pt>
                <c:pt idx="8">
                  <c:v>1933.1705677025932</c:v>
                </c:pt>
                <c:pt idx="9">
                  <c:v>2066.5070118649028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D-F745-B479-524C0E6D7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783631"/>
        <c:axId val="1251904015"/>
      </c:barChart>
      <c:catAx>
        <c:axId val="125178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04015"/>
        <c:crosses val="autoZero"/>
        <c:auto val="1"/>
        <c:lblAlgn val="ctr"/>
        <c:lblOffset val="100"/>
        <c:noMultiLvlLbl val="0"/>
      </c:catAx>
      <c:valAx>
        <c:axId val="125190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78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Customer Growth (Cumulative)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Data'!$A$142</c:f>
              <c:strCache>
                <c:ptCount val="1"/>
                <c:pt idx="0">
                  <c:v>Total Consumers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Data'!$B$141:$K$141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Data'!$B$142:$K$142</c:f>
              <c:numCache>
                <c:formatCode>General</c:formatCode>
                <c:ptCount val="10"/>
                <c:pt idx="0">
                  <c:v>4096.7999999999993</c:v>
                </c:pt>
                <c:pt idx="1">
                  <c:v>9688.56</c:v>
                </c:pt>
                <c:pt idx="2">
                  <c:v>17718.791999999998</c:v>
                </c:pt>
                <c:pt idx="3">
                  <c:v>26063.954399999999</c:v>
                </c:pt>
                <c:pt idx="4">
                  <c:v>36021.568079999997</c:v>
                </c:pt>
                <c:pt idx="5">
                  <c:v>44333.497655999992</c:v>
                </c:pt>
                <c:pt idx="6">
                  <c:v>51493.448359199996</c:v>
                </c:pt>
                <c:pt idx="7">
                  <c:v>57847.013851439995</c:v>
                </c:pt>
                <c:pt idx="8">
                  <c:v>62840.749696008003</c:v>
                </c:pt>
                <c:pt idx="9">
                  <c:v>67131.724787205603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1-D24F-AFC0-213FBF0A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0902895"/>
        <c:axId val="1730892847"/>
      </c:barChart>
      <c:catAx>
        <c:axId val="173090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92847"/>
        <c:crosses val="autoZero"/>
        <c:auto val="1"/>
        <c:lblAlgn val="ctr"/>
        <c:lblOffset val="100"/>
        <c:noMultiLvlLbl val="0"/>
      </c:catAx>
      <c:valAx>
        <c:axId val="173089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90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Structure: Fixed vs Variable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Data'!$A$29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Data'!$B$28:$K$28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Data'!$B$29:$K$29</c:f>
              <c:numCache>
                <c:formatCode>General</c:formatCode>
                <c:ptCount val="10"/>
                <c:pt idx="0">
                  <c:v>906700</c:v>
                </c:pt>
                <c:pt idx="1">
                  <c:v>1170285</c:v>
                </c:pt>
                <c:pt idx="2">
                  <c:v>1210259.25</c:v>
                </c:pt>
                <c:pt idx="3">
                  <c:v>1442903.2375000003</c:v>
                </c:pt>
                <c:pt idx="4">
                  <c:v>1491554.7688749998</c:v>
                </c:pt>
                <c:pt idx="5">
                  <c:v>1541934.0679037496</c:v>
                </c:pt>
                <c:pt idx="6">
                  <c:v>1803065.5305940621</c:v>
                </c:pt>
                <c:pt idx="7">
                  <c:v>1863367.4997105405</c:v>
                </c:pt>
                <c:pt idx="8">
                  <c:v>2147473.7923032781</c:v>
                </c:pt>
                <c:pt idx="9">
                  <c:v>2218744.5345988953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9-CC4B-93D4-E664179007DA}"/>
            </c:ext>
          </c:extLst>
        </c:ser>
        <c:ser>
          <c:idx val="1"/>
          <c:order val="1"/>
          <c:tx>
            <c:strRef>
              <c:f>'Chart Data'!$A$30</c:f>
              <c:strCache>
                <c:ptCount val="1"/>
                <c:pt idx="0">
                  <c:v>Variable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Data'!$B$28:$K$28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Data'!$B$30:$K$30</c:f>
              <c:numCache>
                <c:formatCode>General</c:formatCode>
                <c:ptCount val="10"/>
                <c:pt idx="0">
                  <c:v>393747.25296000001</c:v>
                </c:pt>
                <c:pt idx="1">
                  <c:v>686605.28114400001</c:v>
                </c:pt>
                <c:pt idx="2">
                  <c:v>1079352.492328384</c:v>
                </c:pt>
                <c:pt idx="3">
                  <c:v>1439817.7780314528</c:v>
                </c:pt>
                <c:pt idx="4">
                  <c:v>1987285.1643430542</c:v>
                </c:pt>
                <c:pt idx="5">
                  <c:v>2222978.622708573</c:v>
                </c:pt>
                <c:pt idx="6">
                  <c:v>2440264.0832994035</c:v>
                </c:pt>
                <c:pt idx="7">
                  <c:v>2680650.3663924448</c:v>
                </c:pt>
                <c:pt idx="8">
                  <c:v>2887448.5189363933</c:v>
                </c:pt>
                <c:pt idx="9">
                  <c:v>3113894.6432358027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59-CC4B-93D4-E66417900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0674783"/>
        <c:axId val="556982464"/>
      </c:barChart>
      <c:catAx>
        <c:axId val="178067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82464"/>
        <c:crosses val="autoZero"/>
        <c:auto val="1"/>
        <c:lblAlgn val="ctr"/>
        <c:lblOffset val="100"/>
        <c:noMultiLvlLbl val="0"/>
      </c:catAx>
      <c:valAx>
        <c:axId val="55698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67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Leverage — Revenue vs Fixed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Data'!$A$34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Data'!$B$33:$K$33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Data'!$B$34:$K$34</c:f>
              <c:numCache>
                <c:formatCode>General</c:formatCode>
                <c:ptCount val="10"/>
                <c:pt idx="0">
                  <c:v>584800.64799999993</c:v>
                </c:pt>
                <c:pt idx="1">
                  <c:v>1205553.4572000001</c:v>
                </c:pt>
                <c:pt idx="2">
                  <c:v>2069745.0476191998</c:v>
                </c:pt>
                <c:pt idx="3">
                  <c:v>2877110.6754926401</c:v>
                </c:pt>
                <c:pt idx="4">
                  <c:v>4131015.4205565937</c:v>
                </c:pt>
                <c:pt idx="5">
                  <c:v>4676081.5232860502</c:v>
                </c:pt>
                <c:pt idx="6">
                  <c:v>5197545.3764527719</c:v>
                </c:pt>
                <c:pt idx="7">
                  <c:v>5779105.1736153392</c:v>
                </c:pt>
                <c:pt idx="8">
                  <c:v>6287807.5386141911</c:v>
                </c:pt>
                <c:pt idx="9">
                  <c:v>6941838.6186841698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F-184D-9A75-67C2EACA6109}"/>
            </c:ext>
          </c:extLst>
        </c:ser>
        <c:ser>
          <c:idx val="1"/>
          <c:order val="1"/>
          <c:tx>
            <c:strRef>
              <c:f>'Chart Data'!$A$35</c:f>
              <c:strCache>
                <c:ptCount val="1"/>
                <c:pt idx="0">
                  <c:v>Fixed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Data'!$B$33:$K$33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Data'!$B$35:$K$35</c:f>
              <c:numCache>
                <c:formatCode>General</c:formatCode>
                <c:ptCount val="10"/>
                <c:pt idx="0">
                  <c:v>906700</c:v>
                </c:pt>
                <c:pt idx="1">
                  <c:v>1170285</c:v>
                </c:pt>
                <c:pt idx="2">
                  <c:v>1210259.25</c:v>
                </c:pt>
                <c:pt idx="3">
                  <c:v>1442903.2375000003</c:v>
                </c:pt>
                <c:pt idx="4">
                  <c:v>1491554.7688749998</c:v>
                </c:pt>
                <c:pt idx="5">
                  <c:v>1541934.0679037496</c:v>
                </c:pt>
                <c:pt idx="6">
                  <c:v>1803065.5305940621</c:v>
                </c:pt>
                <c:pt idx="7">
                  <c:v>1863367.4997105405</c:v>
                </c:pt>
                <c:pt idx="8">
                  <c:v>2147473.7923032781</c:v>
                </c:pt>
                <c:pt idx="9">
                  <c:v>2218744.5345988953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7F-184D-9A75-67C2EACA6109}"/>
            </c:ext>
          </c:extLst>
        </c:ser>
        <c:ser>
          <c:idx val="2"/>
          <c:order val="2"/>
          <c:tx>
            <c:strRef>
              <c:f>'Chart Data'!$A$36</c:f>
              <c:strCache>
                <c:ptCount val="1"/>
                <c:pt idx="0">
                  <c:v>Op Leverage (Rev/Fixed)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Data'!$B$33:$K$33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Data'!$B$36:$K$36</c:f>
              <c:numCache>
                <c:formatCode>General</c:formatCode>
                <c:ptCount val="10"/>
                <c:pt idx="0">
                  <c:v>0.64497700231609123</c:v>
                </c:pt>
                <c:pt idx="1">
                  <c:v>1.0301366395365232</c:v>
                </c:pt>
                <c:pt idx="2">
                  <c:v>1.7101666833938265</c:v>
                </c:pt>
                <c:pt idx="3">
                  <c:v>1.9939734007926775</c:v>
                </c:pt>
                <c:pt idx="4">
                  <c:v>2.7696035752494681</c:v>
                </c:pt>
                <c:pt idx="5">
                  <c:v>3.0326079568649491</c:v>
                </c:pt>
                <c:pt idx="6">
                  <c:v>2.882615905113731</c:v>
                </c:pt>
                <c:pt idx="7">
                  <c:v>3.1014307024851928</c:v>
                </c:pt>
                <c:pt idx="8">
                  <c:v>2.9280019905948134</c:v>
                </c:pt>
                <c:pt idx="9">
                  <c:v>3.1287237040739866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7F-184D-9A75-67C2EACA6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961407"/>
        <c:axId val="1753680047"/>
      </c:lineChart>
      <c:catAx>
        <c:axId val="17539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80047"/>
        <c:crosses val="autoZero"/>
        <c:auto val="1"/>
        <c:lblAlgn val="ctr"/>
        <c:lblOffset val="100"/>
        <c:noMultiLvlLbl val="0"/>
      </c:catAx>
      <c:valAx>
        <c:axId val="17536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6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Headcount &amp; OpEx ($000s)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Data'!$A$94</c:f>
              <c:strCache>
                <c:ptCount val="1"/>
                <c:pt idx="0">
                  <c:v>Revenue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Data'!$B$93:$K$93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Data'!$B$94:$K$94</c:f>
              <c:numCache>
                <c:formatCode>General</c:formatCode>
                <c:ptCount val="10"/>
                <c:pt idx="0">
                  <c:v>584.80064799999991</c:v>
                </c:pt>
                <c:pt idx="1">
                  <c:v>1205.5534572000001</c:v>
                </c:pt>
                <c:pt idx="2">
                  <c:v>2069.7450476191998</c:v>
                </c:pt>
                <c:pt idx="3">
                  <c:v>2877.11067549264</c:v>
                </c:pt>
                <c:pt idx="4">
                  <c:v>4131.0154205565941</c:v>
                </c:pt>
                <c:pt idx="5">
                  <c:v>4676.0815232860505</c:v>
                </c:pt>
                <c:pt idx="6">
                  <c:v>5197.545376452772</c:v>
                </c:pt>
                <c:pt idx="7">
                  <c:v>5779.1051736153395</c:v>
                </c:pt>
                <c:pt idx="8">
                  <c:v>6287.8075386141909</c:v>
                </c:pt>
                <c:pt idx="9">
                  <c:v>6941.8386186841699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9-594A-97DE-41AEF670502F}"/>
            </c:ext>
          </c:extLst>
        </c:ser>
        <c:ser>
          <c:idx val="1"/>
          <c:order val="1"/>
          <c:tx>
            <c:strRef>
              <c:f>'Chart Data'!$A$95</c:f>
              <c:strCache>
                <c:ptCount val="1"/>
                <c:pt idx="0">
                  <c:v>Headcount Cost ($000s)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Data'!$B$93:$K$93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Data'!$B$95:$K$95</c:f>
              <c:numCache>
                <c:formatCode>General</c:formatCode>
                <c:ptCount val="10"/>
                <c:pt idx="0">
                  <c:v>675</c:v>
                </c:pt>
                <c:pt idx="1">
                  <c:v>927</c:v>
                </c:pt>
                <c:pt idx="2">
                  <c:v>954.81</c:v>
                </c:pt>
                <c:pt idx="3">
                  <c:v>1174.6815250000002</c:v>
                </c:pt>
                <c:pt idx="4">
                  <c:v>1209.9219707499999</c:v>
                </c:pt>
                <c:pt idx="5">
                  <c:v>1246.2196298724998</c:v>
                </c:pt>
                <c:pt idx="6">
                  <c:v>1492.5653706612495</c:v>
                </c:pt>
                <c:pt idx="7">
                  <c:v>1537.3423317810875</c:v>
                </c:pt>
                <c:pt idx="8">
                  <c:v>1805.1473659773526</c:v>
                </c:pt>
                <c:pt idx="9">
                  <c:v>1859.3017869566734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9-594A-97DE-41AEF670502F}"/>
            </c:ext>
          </c:extLst>
        </c:ser>
        <c:ser>
          <c:idx val="2"/>
          <c:order val="2"/>
          <c:tx>
            <c:strRef>
              <c:f>'Chart Data'!$A$96</c:f>
              <c:strCache>
                <c:ptCount val="1"/>
                <c:pt idx="0">
                  <c:v>Non-HC OpEx ($000s)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Data'!$B$93:$K$93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Data'!$B$96:$K$96</c:f>
              <c:numCache>
                <c:formatCode>General</c:formatCode>
                <c:ptCount val="10"/>
                <c:pt idx="0">
                  <c:v>331</c:v>
                </c:pt>
                <c:pt idx="1">
                  <c:v>347.55</c:v>
                </c:pt>
                <c:pt idx="2">
                  <c:v>364.92750000000001</c:v>
                </c:pt>
                <c:pt idx="3">
                  <c:v>383.17387500000007</c:v>
                </c:pt>
                <c:pt idx="4">
                  <c:v>402.33256874999995</c:v>
                </c:pt>
                <c:pt idx="5">
                  <c:v>422.44919718750009</c:v>
                </c:pt>
                <c:pt idx="6">
                  <c:v>443.57165704687492</c:v>
                </c:pt>
                <c:pt idx="7">
                  <c:v>465.7502398992188</c:v>
                </c:pt>
                <c:pt idx="8">
                  <c:v>489.03775189417968</c:v>
                </c:pt>
                <c:pt idx="9">
                  <c:v>513.48963948888877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9-594A-97DE-41AEF6705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879295"/>
        <c:axId val="1753631295"/>
      </c:barChart>
      <c:catAx>
        <c:axId val="123287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631295"/>
        <c:crosses val="autoZero"/>
        <c:auto val="1"/>
        <c:lblAlgn val="ctr"/>
        <c:lblOffset val="100"/>
        <c:noMultiLvlLbl val="0"/>
      </c:catAx>
      <c:valAx>
        <c:axId val="175363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87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Consolidated Margin Progression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Data'!$A$10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Data'!$B$9:$K$9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Data'!$B$10:$K$10</c:f>
              <c:numCache>
                <c:formatCode>General</c:formatCode>
                <c:ptCount val="10"/>
                <c:pt idx="0">
                  <c:v>0.49649978335865308</c:v>
                </c:pt>
                <c:pt idx="1">
                  <c:v>0.51695192140501622</c:v>
                </c:pt>
                <c:pt idx="2">
                  <c:v>0.53140400386800424</c:v>
                </c:pt>
                <c:pt idx="3">
                  <c:v>0.53951524116999794</c:v>
                </c:pt>
                <c:pt idx="4">
                  <c:v>0.54815337061449176</c:v>
                </c:pt>
                <c:pt idx="5">
                  <c:v>0.55170929909724564</c:v>
                </c:pt>
                <c:pt idx="6">
                  <c:v>0.55609957795886389</c:v>
                </c:pt>
                <c:pt idx="7">
                  <c:v>0.56032547979515201</c:v>
                </c:pt>
                <c:pt idx="8">
                  <c:v>0.56411878440347629</c:v>
                </c:pt>
                <c:pt idx="9">
                  <c:v>0.57362193015801088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B4-B044-A2D7-A71E83298003}"/>
            </c:ext>
          </c:extLst>
        </c:ser>
        <c:ser>
          <c:idx val="1"/>
          <c:order val="1"/>
          <c:tx>
            <c:strRef>
              <c:f>'Chart Data'!$A$11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Data'!$B$9:$K$9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Data'!$B$11:$K$11</c:f>
              <c:numCache>
                <c:formatCode>General</c:formatCode>
                <c:ptCount val="10"/>
                <c:pt idx="0">
                  <c:v>-1.2237445485183529</c:v>
                </c:pt>
                <c:pt idx="1">
                  <c:v>-0.54028033352978377</c:v>
                </c:pt>
                <c:pt idx="2">
                  <c:v>-0.10622887826792669</c:v>
                </c:pt>
                <c:pt idx="3">
                  <c:v>-1.9499910401785552E-3</c:v>
                </c:pt>
                <c:pt idx="4">
                  <c:v>0.1578729249213667</c:v>
                </c:pt>
                <c:pt idx="5">
                  <c:v>0.19485734543682992</c:v>
                </c:pt>
                <c:pt idx="6">
                  <c:v>0.1835896934892256</c:v>
                </c:pt>
                <c:pt idx="7">
                  <c:v>0.21371601145990185</c:v>
                </c:pt>
                <c:pt idx="8">
                  <c:v>0.19925629397534816</c:v>
                </c:pt>
                <c:pt idx="9">
                  <c:v>0.23181170425343259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B4-B044-A2D7-A71E83298003}"/>
            </c:ext>
          </c:extLst>
        </c:ser>
        <c:ser>
          <c:idx val="2"/>
          <c:order val="2"/>
          <c:tx>
            <c:strRef>
              <c:f>'Chart Data'!$A$12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Data'!$B$9:$K$9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Data'!$B$12:$K$12</c:f>
              <c:numCache>
                <c:formatCode>General</c:formatCode>
                <c:ptCount val="10"/>
                <c:pt idx="0">
                  <c:v>-1.353744548518353</c:v>
                </c:pt>
                <c:pt idx="1">
                  <c:v>-0.63147321837401138</c:v>
                </c:pt>
                <c:pt idx="2">
                  <c:v>-0.18963170114848457</c:v>
                </c:pt>
                <c:pt idx="3">
                  <c:v>-7.4399336065397573E-2</c:v>
                </c:pt>
                <c:pt idx="4">
                  <c:v>5.1621952187339094E-2</c:v>
                </c:pt>
                <c:pt idx="5">
                  <c:v>9.4317832003354155E-2</c:v>
                </c:pt>
                <c:pt idx="6">
                  <c:v>8.7165960535797504E-2</c:v>
                </c:pt>
                <c:pt idx="7">
                  <c:v>0.10973649171120266</c:v>
                </c:pt>
                <c:pt idx="8">
                  <c:v>0.10046998211384674</c:v>
                </c:pt>
                <c:pt idx="9">
                  <c:v>0.12382151187207469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B4-B044-A2D7-A71E83298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889136"/>
        <c:axId val="556991360"/>
      </c:lineChart>
      <c:catAx>
        <c:axId val="55688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91360"/>
        <c:crosses val="autoZero"/>
        <c:auto val="1"/>
        <c:lblAlgn val="ctr"/>
        <c:lblOffset val="100"/>
        <c:noMultiLvlLbl val="0"/>
      </c:catAx>
      <c:valAx>
        <c:axId val="55699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8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Margin by Segment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Data'!$A$52</c:f>
              <c:strCache>
                <c:ptCount val="1"/>
                <c:pt idx="0">
                  <c:v>Platform GM%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Data'!$B$52:$K$52</c:f>
              <c:numCache>
                <c:formatCode>General</c:formatCode>
                <c:ptCount val="10"/>
                <c:pt idx="0">
                  <c:v>0.77602108036890638</c:v>
                </c:pt>
                <c:pt idx="1">
                  <c:v>0.77882198390743618</c:v>
                </c:pt>
                <c:pt idx="2">
                  <c:v>0.78138569225581245</c:v>
                </c:pt>
                <c:pt idx="3">
                  <c:v>0.78373355926872046</c:v>
                </c:pt>
                <c:pt idx="4">
                  <c:v>0.78588445385900563</c:v>
                </c:pt>
                <c:pt idx="5">
                  <c:v>0.78630236637139828</c:v>
                </c:pt>
                <c:pt idx="6">
                  <c:v>0.78717951389312957</c:v>
                </c:pt>
                <c:pt idx="7">
                  <c:v>0.78749586342756428</c:v>
                </c:pt>
                <c:pt idx="8">
                  <c:v>0.78730224354465073</c:v>
                </c:pt>
                <c:pt idx="9">
                  <c:v>0.78755892116752557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31-AF44-8D24-2C722F1B1DE9}"/>
            </c:ext>
          </c:extLst>
        </c:ser>
        <c:ser>
          <c:idx val="1"/>
          <c:order val="1"/>
          <c:tx>
            <c:strRef>
              <c:f>'Chart Data'!$A$53</c:f>
              <c:strCache>
                <c:ptCount val="1"/>
                <c:pt idx="0">
                  <c:v>Creator GM%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Data'!$B$53:$K$53</c:f>
              <c:numCache>
                <c:formatCode>General</c:formatCode>
                <c:ptCount val="10"/>
                <c:pt idx="0">
                  <c:v>-97.039215686274517</c:v>
                </c:pt>
                <c:pt idx="1">
                  <c:v>-94.183704549781069</c:v>
                </c:pt>
                <c:pt idx="2">
                  <c:v>-3.5629906716956503</c:v>
                </c:pt>
                <c:pt idx="3">
                  <c:v>-2.0897974032634439</c:v>
                </c:pt>
                <c:pt idx="4">
                  <c:v>-1.3356471844913449</c:v>
                </c:pt>
                <c:pt idx="5">
                  <c:v>-0.8773774795423559</c:v>
                </c:pt>
                <c:pt idx="6">
                  <c:v>-0.56941687770283056</c:v>
                </c:pt>
                <c:pt idx="7">
                  <c:v>-0.34823332476476987</c:v>
                </c:pt>
                <c:pt idx="8">
                  <c:v>-0.18167777205878541</c:v>
                </c:pt>
                <c:pt idx="9">
                  <c:v>5.2110556875104193E-2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1-AF44-8D24-2C722F1B1DE9}"/>
            </c:ext>
          </c:extLst>
        </c:ser>
        <c:ser>
          <c:idx val="2"/>
          <c:order val="2"/>
          <c:tx>
            <c:strRef>
              <c:f>'Chart Data'!$A$54</c:f>
              <c:strCache>
                <c:ptCount val="1"/>
                <c:pt idx="0">
                  <c:v>Venue GM%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Data'!$B$54:$K$54</c:f>
              <c:numCache>
                <c:formatCode>General</c:formatCode>
                <c:ptCount val="10"/>
                <c:pt idx="0">
                  <c:v>0.77138328354569285</c:v>
                </c:pt>
                <c:pt idx="1">
                  <c:v>0.77144723874743337</c:v>
                </c:pt>
                <c:pt idx="2">
                  <c:v>0.77151307520692214</c:v>
                </c:pt>
                <c:pt idx="3">
                  <c:v>0.77158084711862174</c:v>
                </c:pt>
                <c:pt idx="4">
                  <c:v>0.77165061016934866</c:v>
                </c:pt>
                <c:pt idx="5">
                  <c:v>0.77172242157520088</c:v>
                </c:pt>
                <c:pt idx="6">
                  <c:v>0.77179634011914033</c:v>
                </c:pt>
                <c:pt idx="7">
                  <c:v>0.7718724261892268</c:v>
                </c:pt>
                <c:pt idx="8">
                  <c:v>0.77195074181749423</c:v>
                </c:pt>
                <c:pt idx="9">
                  <c:v>0.77203135071946205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1-AF44-8D24-2C722F1B1DE9}"/>
            </c:ext>
          </c:extLst>
        </c:ser>
        <c:ser>
          <c:idx val="3"/>
          <c:order val="3"/>
          <c:tx>
            <c:strRef>
              <c:f>'Chart Data'!$A$55</c:f>
              <c:strCache>
                <c:ptCount val="1"/>
                <c:pt idx="0">
                  <c:v>Corporate GM%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Data'!$B$55:$K$55</c:f>
              <c:numCache>
                <c:formatCode>General</c:formatCode>
                <c:ptCount val="10"/>
                <c:pt idx="0">
                  <c:v>0.48066666666666669</c:v>
                </c:pt>
                <c:pt idx="1">
                  <c:v>0.56318681318681318</c:v>
                </c:pt>
                <c:pt idx="2">
                  <c:v>0.56318681318681318</c:v>
                </c:pt>
                <c:pt idx="3">
                  <c:v>0.56318681318681318</c:v>
                </c:pt>
                <c:pt idx="4">
                  <c:v>0.56318681318681318</c:v>
                </c:pt>
                <c:pt idx="5">
                  <c:v>0.56318681318681318</c:v>
                </c:pt>
                <c:pt idx="6">
                  <c:v>0.56318681318681318</c:v>
                </c:pt>
                <c:pt idx="7">
                  <c:v>0.56318681318681318</c:v>
                </c:pt>
                <c:pt idx="8">
                  <c:v>0.56318681318681318</c:v>
                </c:pt>
                <c:pt idx="9">
                  <c:v>0.56318681318681318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31-AF44-8D24-2C722F1B1DE9}"/>
            </c:ext>
          </c:extLst>
        </c:ser>
        <c:ser>
          <c:idx val="4"/>
          <c:order val="4"/>
          <c:tx>
            <c:strRef>
              <c:f>'Chart Data'!$A$56</c:f>
              <c:strCache>
                <c:ptCount val="1"/>
                <c:pt idx="0">
                  <c:v>Blended GM%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Data'!$B$56:$K$56</c:f>
              <c:numCache>
                <c:formatCode>General</c:formatCode>
                <c:ptCount val="10"/>
                <c:pt idx="0">
                  <c:v>0.49649978335865308</c:v>
                </c:pt>
                <c:pt idx="1">
                  <c:v>0.51695192140501622</c:v>
                </c:pt>
                <c:pt idx="2">
                  <c:v>0.53140400386800424</c:v>
                </c:pt>
                <c:pt idx="3">
                  <c:v>0.53951524116999794</c:v>
                </c:pt>
                <c:pt idx="4">
                  <c:v>0.54815337061449176</c:v>
                </c:pt>
                <c:pt idx="5">
                  <c:v>0.55170929909724564</c:v>
                </c:pt>
                <c:pt idx="6">
                  <c:v>0.55609957795886389</c:v>
                </c:pt>
                <c:pt idx="7">
                  <c:v>0.56032547979515201</c:v>
                </c:pt>
                <c:pt idx="8">
                  <c:v>0.56411878440347629</c:v>
                </c:pt>
                <c:pt idx="9">
                  <c:v>0.57362193015801088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31-AF44-8D24-2C722F1B1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291167"/>
        <c:axId val="1231278623"/>
      </c:lineChart>
      <c:catAx>
        <c:axId val="123129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78623"/>
        <c:crosses val="autoZero"/>
        <c:auto val="1"/>
        <c:lblAlgn val="ctr"/>
        <c:lblOffset val="100"/>
        <c:noMultiLvlLbl val="0"/>
      </c:catAx>
      <c:valAx>
        <c:axId val="12312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9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 Bridge — Year 5 ($000s)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Data'!$B$104</c:f>
              <c:strCache>
                <c:ptCount val="1"/>
                <c:pt idx="0">
                  <c:v>4131.015421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Data'!$A$105:$A$109</c:f>
              <c:strCache>
                <c:ptCount val="4"/>
                <c:pt idx="0">
                  <c:v>(-) COGS</c:v>
                </c:pt>
                <c:pt idx="1">
                  <c:v>(-) OpEx</c:v>
                </c:pt>
                <c:pt idx="2">
                  <c:v>EBITDA</c:v>
                </c:pt>
                <c:pt idx="3">
                  <c:v>Free Cash Flow</c:v>
                </c:pt>
              </c:strCache>
            </c:strRef>
          </c:cat>
          <c:val>
            <c:numRef>
              <c:f>'Chart Data'!$B$105:$B$109</c:f>
              <c:numCache>
                <c:formatCode>General</c:formatCode>
                <c:ptCount val="5"/>
                <c:pt idx="0">
                  <c:v>-1866.5853937180543</c:v>
                </c:pt>
                <c:pt idx="1">
                  <c:v>-1612.2545395</c:v>
                </c:pt>
                <c:pt idx="2">
                  <c:v>652.17548733853926</c:v>
                </c:pt>
                <c:pt idx="3">
                  <c:v>213.25108052513298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5-5B49-BF96-2B22AC09B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607167"/>
        <c:axId val="104097312"/>
      </c:barChart>
      <c:catAx>
        <c:axId val="174960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7312"/>
        <c:crosses val="autoZero"/>
        <c:auto val="1"/>
        <c:lblAlgn val="ctr"/>
        <c:lblOffset val="100"/>
        <c:noMultiLvlLbl val="0"/>
      </c:catAx>
      <c:valAx>
        <c:axId val="10409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60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Strategic Scorecard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'Chart Data'!$B$112</c:f>
              <c:strCache>
                <c:ptCount val="1"/>
                <c:pt idx="0">
                  <c:v>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Data'!$B$113:$B$117</c:f>
              <c:numCache>
                <c:formatCode>General</c:formatCode>
                <c:ptCount val="5"/>
                <c:pt idx="0">
                  <c:v>75</c:v>
                </c:pt>
                <c:pt idx="1">
                  <c:v>90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D-8D49-8E9D-E081DADB2E88}"/>
            </c:ext>
          </c:extLst>
        </c:ser>
        <c:ser>
          <c:idx val="1"/>
          <c:order val="1"/>
          <c:tx>
            <c:strRef>
              <c:f>'Chart Data'!$C$112</c:f>
              <c:strCache>
                <c:ptCount val="1"/>
                <c:pt idx="0">
                  <c:v>Creator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Data'!$C$113:$C$117</c:f>
              <c:numCache>
                <c:formatCode>General</c:formatCode>
                <c:ptCount val="5"/>
                <c:pt idx="0">
                  <c:v>55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2D-8D49-8E9D-E081DADB2E88}"/>
            </c:ext>
          </c:extLst>
        </c:ser>
        <c:ser>
          <c:idx val="2"/>
          <c:order val="2"/>
          <c:tx>
            <c:strRef>
              <c:f>'Chart Data'!$D$112</c:f>
              <c:strCache>
                <c:ptCount val="1"/>
                <c:pt idx="0">
                  <c:v>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Data'!$D$113:$D$117</c:f>
              <c:numCache>
                <c:formatCode>General</c:formatCode>
                <c:ptCount val="5"/>
                <c:pt idx="0">
                  <c:v>45</c:v>
                </c:pt>
                <c:pt idx="1">
                  <c:v>50</c:v>
                </c:pt>
                <c:pt idx="2">
                  <c:v>40</c:v>
                </c:pt>
                <c:pt idx="3">
                  <c:v>55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2D-8D49-8E9D-E081DADB2E88}"/>
            </c:ext>
          </c:extLst>
        </c:ser>
        <c:ser>
          <c:idx val="3"/>
          <c:order val="3"/>
          <c:tx>
            <c:strRef>
              <c:f>'Chart Data'!$E$112</c:f>
              <c:strCache>
                <c:ptCount val="1"/>
                <c:pt idx="0">
                  <c:v>Corporate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Data'!$E$113:$E$117</c:f>
              <c:numCache>
                <c:formatCode>General</c:formatCode>
                <c:ptCount val="5"/>
                <c:pt idx="0">
                  <c:v>45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2D-8D49-8E9D-E081DADB2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423551"/>
        <c:axId val="1749425263"/>
      </c:radarChart>
      <c:catAx>
        <c:axId val="174942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25263"/>
        <c:crosses val="autoZero"/>
        <c:auto val="1"/>
        <c:lblAlgn val="ctr"/>
        <c:lblOffset val="100"/>
        <c:noMultiLvlLbl val="0"/>
      </c:catAx>
      <c:valAx>
        <c:axId val="17494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2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 Bridge — Year 5 ($000s)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Data'!$B$104</c:f>
              <c:strCache>
                <c:ptCount val="1"/>
                <c:pt idx="0">
                  <c:v>4131.015421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Data'!$A$105:$A$109</c:f>
              <c:strCache>
                <c:ptCount val="4"/>
                <c:pt idx="0">
                  <c:v>(-) COGS</c:v>
                </c:pt>
                <c:pt idx="1">
                  <c:v>(-) OpEx</c:v>
                </c:pt>
                <c:pt idx="2">
                  <c:v>EBITDA</c:v>
                </c:pt>
                <c:pt idx="3">
                  <c:v>Free Cash Flow</c:v>
                </c:pt>
              </c:strCache>
            </c:strRef>
          </c:cat>
          <c:val>
            <c:numRef>
              <c:f>'Chart Data'!$B$105:$B$109</c:f>
              <c:numCache>
                <c:formatCode>General</c:formatCode>
                <c:ptCount val="5"/>
                <c:pt idx="0">
                  <c:v>-1866.5853937180543</c:v>
                </c:pt>
                <c:pt idx="1">
                  <c:v>-1612.2545395</c:v>
                </c:pt>
                <c:pt idx="2">
                  <c:v>652.17548733853926</c:v>
                </c:pt>
                <c:pt idx="3">
                  <c:v>213.25108052513298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C-BE4E-87AB-C1EE4FB7A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2559584"/>
        <c:axId val="1760835487"/>
      </c:barChart>
      <c:catAx>
        <c:axId val="76255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835487"/>
        <c:crosses val="autoZero"/>
        <c:auto val="1"/>
        <c:lblAlgn val="ctr"/>
        <c:lblOffset val="100"/>
        <c:noMultiLvlLbl val="0"/>
      </c:catAx>
      <c:valAx>
        <c:axId val="176083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55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Strategic Scorecard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'Chart Data'!$B$112</c:f>
              <c:strCache>
                <c:ptCount val="1"/>
                <c:pt idx="0">
                  <c:v>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Data'!$B$113:$B$117</c:f>
              <c:numCache>
                <c:formatCode>General</c:formatCode>
                <c:ptCount val="5"/>
                <c:pt idx="0">
                  <c:v>75</c:v>
                </c:pt>
                <c:pt idx="1">
                  <c:v>90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4-4147-A6B0-CAFDB38DBA26}"/>
            </c:ext>
          </c:extLst>
        </c:ser>
        <c:ser>
          <c:idx val="1"/>
          <c:order val="1"/>
          <c:tx>
            <c:strRef>
              <c:f>'Chart Data'!$C$112</c:f>
              <c:strCache>
                <c:ptCount val="1"/>
                <c:pt idx="0">
                  <c:v>Creator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Data'!$C$113:$C$117</c:f>
              <c:numCache>
                <c:formatCode>General</c:formatCode>
                <c:ptCount val="5"/>
                <c:pt idx="0">
                  <c:v>55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4-4147-A6B0-CAFDB38DBA26}"/>
            </c:ext>
          </c:extLst>
        </c:ser>
        <c:ser>
          <c:idx val="2"/>
          <c:order val="2"/>
          <c:tx>
            <c:strRef>
              <c:f>'Chart Data'!$D$112</c:f>
              <c:strCache>
                <c:ptCount val="1"/>
                <c:pt idx="0">
                  <c:v>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Data'!$D$113:$D$117</c:f>
              <c:numCache>
                <c:formatCode>General</c:formatCode>
                <c:ptCount val="5"/>
                <c:pt idx="0">
                  <c:v>45</c:v>
                </c:pt>
                <c:pt idx="1">
                  <c:v>50</c:v>
                </c:pt>
                <c:pt idx="2">
                  <c:v>40</c:v>
                </c:pt>
                <c:pt idx="3">
                  <c:v>55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84-4147-A6B0-CAFDB38DBA26}"/>
            </c:ext>
          </c:extLst>
        </c:ser>
        <c:ser>
          <c:idx val="3"/>
          <c:order val="3"/>
          <c:tx>
            <c:strRef>
              <c:f>'Chart Data'!$E$112</c:f>
              <c:strCache>
                <c:ptCount val="1"/>
                <c:pt idx="0">
                  <c:v>Corporate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Data'!$E$113:$E$117</c:f>
              <c:numCache>
                <c:formatCode>General</c:formatCode>
                <c:ptCount val="5"/>
                <c:pt idx="0">
                  <c:v>45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84-4147-A6B0-CAFDB38DB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088752"/>
        <c:axId val="1686208047"/>
      </c:radarChart>
      <c:catAx>
        <c:axId val="62608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208047"/>
        <c:crosses val="autoZero"/>
        <c:auto val="1"/>
        <c:lblAlgn val="ctr"/>
        <c:lblOffset val="100"/>
        <c:noMultiLvlLbl val="0"/>
      </c:catAx>
      <c:valAx>
        <c:axId val="16862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8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P&amp;L Bridge — Year 5 ($000s)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Data'!$B$103</c:f>
              <c:strCache>
                <c:ptCount val="1"/>
                <c:pt idx="0">
                  <c:v>Value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Data'!$A$104:$A$108</c:f>
              <c:strCache>
                <c:ptCount val="5"/>
                <c:pt idx="0">
                  <c:v>Revenue</c:v>
                </c:pt>
                <c:pt idx="1">
                  <c:v>(-) COGS</c:v>
                </c:pt>
                <c:pt idx="2">
                  <c:v>(-) OpEx</c:v>
                </c:pt>
                <c:pt idx="3">
                  <c:v>EBITDA</c:v>
                </c:pt>
                <c:pt idx="4">
                  <c:v>Free Cash Flow</c:v>
                </c:pt>
              </c:strCache>
            </c:strRef>
          </c:cat>
          <c:val>
            <c:numRef>
              <c:f>'Chart Data'!$B$104:$B$108</c:f>
              <c:numCache>
                <c:formatCode>General</c:formatCode>
                <c:ptCount val="5"/>
                <c:pt idx="0">
                  <c:v>4131.0154205565941</c:v>
                </c:pt>
                <c:pt idx="1">
                  <c:v>-1866.5853937180543</c:v>
                </c:pt>
                <c:pt idx="2">
                  <c:v>-1612.2545395</c:v>
                </c:pt>
                <c:pt idx="3">
                  <c:v>652.17548733853926</c:v>
                </c:pt>
                <c:pt idx="4">
                  <c:v>213.25108052513298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F-844D-9576-561915AE8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896495"/>
        <c:axId val="38674336"/>
      </c:barChart>
      <c:catAx>
        <c:axId val="178089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74336"/>
        <c:crosses val="autoZero"/>
        <c:auto val="1"/>
        <c:lblAlgn val="ctr"/>
        <c:lblOffset val="100"/>
        <c:noMultiLvlLbl val="0"/>
      </c:catAx>
      <c:valAx>
        <c:axId val="3867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9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 Strategic Scorecard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'Chart Data'!$B$112</c:f>
              <c:strCache>
                <c:ptCount val="1"/>
                <c:pt idx="0">
                  <c:v>Platform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Data'!$B$113:$B$117</c:f>
              <c:numCache>
                <c:formatCode>General</c:formatCode>
                <c:ptCount val="5"/>
                <c:pt idx="0">
                  <c:v>75</c:v>
                </c:pt>
                <c:pt idx="1">
                  <c:v>90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2-1041-B1F8-69D599DCDC30}"/>
            </c:ext>
          </c:extLst>
        </c:ser>
        <c:ser>
          <c:idx val="1"/>
          <c:order val="1"/>
          <c:tx>
            <c:strRef>
              <c:f>'Chart Data'!$C$112</c:f>
              <c:strCache>
                <c:ptCount val="1"/>
                <c:pt idx="0">
                  <c:v>Creator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Data'!$C$113:$C$117</c:f>
              <c:numCache>
                <c:formatCode>General</c:formatCode>
                <c:ptCount val="5"/>
                <c:pt idx="0">
                  <c:v>55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2-1041-B1F8-69D599DCDC30}"/>
            </c:ext>
          </c:extLst>
        </c:ser>
        <c:ser>
          <c:idx val="2"/>
          <c:order val="2"/>
          <c:tx>
            <c:strRef>
              <c:f>'Chart Data'!$D$112</c:f>
              <c:strCache>
                <c:ptCount val="1"/>
                <c:pt idx="0">
                  <c:v>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Data'!$D$113:$D$117</c:f>
              <c:numCache>
                <c:formatCode>General</c:formatCode>
                <c:ptCount val="5"/>
                <c:pt idx="0">
                  <c:v>45</c:v>
                </c:pt>
                <c:pt idx="1">
                  <c:v>50</c:v>
                </c:pt>
                <c:pt idx="2">
                  <c:v>40</c:v>
                </c:pt>
                <c:pt idx="3">
                  <c:v>55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2-1041-B1F8-69D599DCDC30}"/>
            </c:ext>
          </c:extLst>
        </c:ser>
        <c:ser>
          <c:idx val="3"/>
          <c:order val="3"/>
          <c:tx>
            <c:strRef>
              <c:f>'Chart Data'!$E$112</c:f>
              <c:strCache>
                <c:ptCount val="1"/>
                <c:pt idx="0">
                  <c:v>Corporate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'Chart Data'!$A$113:$A$117</c:f>
              <c:strCache>
                <c:ptCount val="5"/>
                <c:pt idx="0">
                  <c:v>Gross Margin</c:v>
                </c:pt>
                <c:pt idx="1">
                  <c:v>Growth Potential</c:v>
                </c:pt>
                <c:pt idx="2">
                  <c:v>Scalability</c:v>
                </c:pt>
                <c:pt idx="3">
                  <c:v>Capital Efficiency</c:v>
                </c:pt>
                <c:pt idx="4">
                  <c:v>Market Size</c:v>
                </c:pt>
              </c:strCache>
            </c:strRef>
          </c:cat>
          <c:val>
            <c:numRef>
              <c:f>'Chart Data'!$E$113:$E$117</c:f>
              <c:numCache>
                <c:formatCode>General</c:formatCode>
                <c:ptCount val="5"/>
                <c:pt idx="0">
                  <c:v>45</c:v>
                </c:pt>
                <c:pt idx="1">
                  <c:v>80</c:v>
                </c:pt>
                <c:pt idx="2">
                  <c:v>70</c:v>
                </c:pt>
                <c:pt idx="3">
                  <c:v>60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2-1041-B1F8-69D599DCD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104512"/>
        <c:axId val="38195184"/>
      </c:radarChart>
      <c:catAx>
        <c:axId val="76410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5184"/>
        <c:crosses val="autoZero"/>
        <c:auto val="1"/>
        <c:lblAlgn val="ctr"/>
        <c:lblOffset val="100"/>
        <c:noMultiLvlLbl val="0"/>
      </c:catAx>
      <c:valAx>
        <c:axId val="381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0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Leverage: Break-Even &amp; Revenue/Fixed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Data'!$A$133</c:f>
              <c:strCache>
                <c:ptCount val="1"/>
                <c:pt idx="0">
                  <c:v>Break-Even %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Data'!$B$132:$K$132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Data'!$B$133:$K$133</c:f>
              <c:numCache>
                <c:formatCode>General</c:formatCode>
                <c:ptCount val="10"/>
                <c:pt idx="0">
                  <c:v>3.1227463342561932</c:v>
                </c:pt>
                <c:pt idx="1">
                  <c:v>1.8778245469810828</c:v>
                </c:pt>
                <c:pt idx="2">
                  <c:v>1.1003649193870515</c:v>
                </c:pt>
                <c:pt idx="3">
                  <c:v>0.9295589174148049</c:v>
                </c:pt>
                <c:pt idx="4">
                  <c:v>0.65868883171339099</c:v>
                </c:pt>
                <c:pt idx="5">
                  <c:v>0.59768647150569043</c:v>
                </c:pt>
                <c:pt idx="6">
                  <c:v>0.62382195580603605</c:v>
                </c:pt>
                <c:pt idx="7">
                  <c:v>0.57543668641876478</c:v>
                </c:pt>
                <c:pt idx="8">
                  <c:v>0.6054218223163863</c:v>
                </c:pt>
                <c:pt idx="9">
                  <c:v>0.55719478234416153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3-6440-A6F9-72F5270F5A90}"/>
            </c:ext>
          </c:extLst>
        </c:ser>
        <c:ser>
          <c:idx val="1"/>
          <c:order val="1"/>
          <c:tx>
            <c:strRef>
              <c:f>'Chart Data'!$A$134</c:f>
              <c:strCache>
                <c:ptCount val="1"/>
                <c:pt idx="0">
                  <c:v>Revenue / Fixed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Data'!$B$132:$K$132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Data'!$B$134:$K$134</c:f>
              <c:numCache>
                <c:formatCode>General</c:formatCode>
                <c:ptCount val="10"/>
                <c:pt idx="0">
                  <c:v>0.64497700231609123</c:v>
                </c:pt>
                <c:pt idx="1">
                  <c:v>1.0301366395365232</c:v>
                </c:pt>
                <c:pt idx="2">
                  <c:v>1.7101666833938265</c:v>
                </c:pt>
                <c:pt idx="3">
                  <c:v>1.9939734007926775</c:v>
                </c:pt>
                <c:pt idx="4">
                  <c:v>2.7696035752494681</c:v>
                </c:pt>
                <c:pt idx="5">
                  <c:v>3.0326079568649491</c:v>
                </c:pt>
                <c:pt idx="6">
                  <c:v>2.882615905113731</c:v>
                </c:pt>
                <c:pt idx="7">
                  <c:v>3.1014307024851928</c:v>
                </c:pt>
                <c:pt idx="8">
                  <c:v>2.9280019905948134</c:v>
                </c:pt>
                <c:pt idx="9">
                  <c:v>3.1287237040739866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3-6440-A6F9-72F5270F5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1596768"/>
        <c:axId val="621569840"/>
      </c:lineChart>
      <c:catAx>
        <c:axId val="62159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69840"/>
        <c:crosses val="autoZero"/>
        <c:auto val="1"/>
        <c:lblAlgn val="ctr"/>
        <c:lblOffset val="100"/>
        <c:noMultiLvlLbl val="0"/>
      </c:catAx>
      <c:valAx>
        <c:axId val="62156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59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Margin Change (Basis Points)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Data'!$A$137</c:f>
              <c:strCache>
                <c:ptCount val="1"/>
                <c:pt idx="0">
                  <c:v>Gross Margin ∆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Data'!$B$136:$K$136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Data'!$B$137:$K$137</c:f>
              <c:numCache>
                <c:formatCode>General</c:formatCode>
                <c:ptCount val="10"/>
                <c:pt idx="0">
                  <c:v>0</c:v>
                </c:pt>
                <c:pt idx="1">
                  <c:v>204.52138046363143</c:v>
                </c:pt>
                <c:pt idx="2">
                  <c:v>144.52082462988014</c:v>
                </c:pt>
                <c:pt idx="3">
                  <c:v>81.11237301993701</c:v>
                </c:pt>
                <c:pt idx="4">
                  <c:v>86.381294444938248</c:v>
                </c:pt>
                <c:pt idx="5">
                  <c:v>35.559284827538782</c:v>
                </c:pt>
                <c:pt idx="6">
                  <c:v>43.902788616182463</c:v>
                </c:pt>
                <c:pt idx="7">
                  <c:v>42.259018362881264</c:v>
                </c:pt>
                <c:pt idx="8">
                  <c:v>37.933046083242772</c:v>
                </c:pt>
                <c:pt idx="9">
                  <c:v>95.031457545345916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F-0343-8378-0DF5F794EDFC}"/>
            </c:ext>
          </c:extLst>
        </c:ser>
        <c:ser>
          <c:idx val="1"/>
          <c:order val="1"/>
          <c:tx>
            <c:strRef>
              <c:f>'Chart Data'!$A$138</c:f>
              <c:strCache>
                <c:ptCount val="1"/>
                <c:pt idx="0">
                  <c:v>EBITDA Margin ∆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Data'!$B$136:$K$136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Data'!$B$138:$K$138</c:f>
              <c:numCache>
                <c:formatCode>General</c:formatCode>
                <c:ptCount val="10"/>
                <c:pt idx="0">
                  <c:v>0</c:v>
                </c:pt>
                <c:pt idx="1">
                  <c:v>6834.6421498856917</c:v>
                </c:pt>
                <c:pt idx="2">
                  <c:v>4340.5145526185706</c:v>
                </c:pt>
                <c:pt idx="3">
                  <c:v>1042.7888722774815</c:v>
                </c:pt>
                <c:pt idx="4">
                  <c:v>1598.2291596154528</c:v>
                </c:pt>
                <c:pt idx="5">
                  <c:v>369.84420515463216</c:v>
                </c:pt>
                <c:pt idx="6">
                  <c:v>-112.67651947604318</c:v>
                </c:pt>
                <c:pt idx="7">
                  <c:v>301.26317970676246</c:v>
                </c:pt>
                <c:pt idx="8">
                  <c:v>-144.59717484553687</c:v>
                </c:pt>
                <c:pt idx="9">
                  <c:v>325.55410278084423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7F-0343-8378-0DF5F794EDFC}"/>
            </c:ext>
          </c:extLst>
        </c:ser>
        <c:ser>
          <c:idx val="2"/>
          <c:order val="2"/>
          <c:tx>
            <c:strRef>
              <c:f>'Chart Data'!$A$139</c:f>
              <c:strCache>
                <c:ptCount val="1"/>
                <c:pt idx="0">
                  <c:v>FCF Margin ∆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Data'!$B$136:$K$136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Data'!$B$139:$K$139</c:f>
              <c:numCache>
                <c:formatCode>General</c:formatCode>
                <c:ptCount val="10"/>
                <c:pt idx="0">
                  <c:v>0</c:v>
                </c:pt>
                <c:pt idx="1">
                  <c:v>7222.7133014434166</c:v>
                </c:pt>
                <c:pt idx="2">
                  <c:v>4418.4151722552679</c:v>
                </c:pt>
                <c:pt idx="3">
                  <c:v>1152.3236508308701</c:v>
                </c:pt>
                <c:pt idx="4">
                  <c:v>1260.2128825273667</c:v>
                </c:pt>
                <c:pt idx="5">
                  <c:v>426.95879816015059</c:v>
                </c:pt>
                <c:pt idx="6">
                  <c:v>-71.5187146755665</c:v>
                </c:pt>
                <c:pt idx="7">
                  <c:v>225.70531175405154</c:v>
                </c:pt>
                <c:pt idx="8">
                  <c:v>-92.665095973559204</c:v>
                </c:pt>
                <c:pt idx="9">
                  <c:v>233.51529758227949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7F-0343-8378-0DF5F794E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481136"/>
        <c:axId val="625482848"/>
      </c:barChart>
      <c:catAx>
        <c:axId val="6254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82848"/>
        <c:crosses val="autoZero"/>
        <c:auto val="1"/>
        <c:lblAlgn val="ctr"/>
        <c:lblOffset val="100"/>
        <c:noMultiLvlLbl val="0"/>
      </c:catAx>
      <c:valAx>
        <c:axId val="62548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48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/ EBITDA / Free Cash Flow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Data'!$B$15:$K$15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Data'!$B$16:$K$16</c:f>
              <c:numCache>
                <c:formatCode>General</c:formatCode>
                <c:ptCount val="10"/>
                <c:pt idx="0">
                  <c:v>584800.64799999993</c:v>
                </c:pt>
                <c:pt idx="1">
                  <c:v>1205553.4572000001</c:v>
                </c:pt>
                <c:pt idx="2">
                  <c:v>2069745.0476191998</c:v>
                </c:pt>
                <c:pt idx="3">
                  <c:v>2877110.6754926401</c:v>
                </c:pt>
                <c:pt idx="4">
                  <c:v>4131015.4205565937</c:v>
                </c:pt>
                <c:pt idx="5">
                  <c:v>4676081.5232860502</c:v>
                </c:pt>
                <c:pt idx="6">
                  <c:v>5197545.3764527719</c:v>
                </c:pt>
                <c:pt idx="7">
                  <c:v>5779105.1736153392</c:v>
                </c:pt>
                <c:pt idx="8">
                  <c:v>6287807.5386141911</c:v>
                </c:pt>
                <c:pt idx="9">
                  <c:v>6941838.6186841698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8-F54F-BDD6-193A03264688}"/>
            </c:ext>
          </c:extLst>
        </c:ser>
        <c:ser>
          <c:idx val="1"/>
          <c:order val="1"/>
          <c:tx>
            <c:strRef>
              <c:f>'Chart Data'!$A$17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Data'!$B$15:$K$15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Data'!$B$17:$K$17</c:f>
              <c:numCache>
                <c:formatCode>General</c:formatCode>
                <c:ptCount val="10"/>
                <c:pt idx="0">
                  <c:v>-715646.60496000014</c:v>
                </c:pt>
                <c:pt idx="1">
                  <c:v>-651336.82394399995</c:v>
                </c:pt>
                <c:pt idx="2">
                  <c:v>-219866.69470918411</c:v>
                </c:pt>
                <c:pt idx="3">
                  <c:v>-5610.3400388127193</c:v>
                </c:pt>
                <c:pt idx="4">
                  <c:v>652175.48733853921</c:v>
                </c:pt>
                <c:pt idx="5">
                  <c:v>911168.83267372777</c:v>
                </c:pt>
                <c:pt idx="6">
                  <c:v>954215.76255930611</c:v>
                </c:pt>
                <c:pt idx="7">
                  <c:v>1235087.3075123539</c:v>
                </c:pt>
                <c:pt idx="8">
                  <c:v>1252885.2273745197</c:v>
                </c:pt>
                <c:pt idx="9">
                  <c:v>1609199.4408494718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8-F54F-BDD6-193A03264688}"/>
            </c:ext>
          </c:extLst>
        </c:ser>
        <c:ser>
          <c:idx val="2"/>
          <c:order val="2"/>
          <c:tx>
            <c:strRef>
              <c:f>'Chart Data'!$A$18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Data'!$B$15:$K$15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Data'!$B$18:$K$18</c:f>
              <c:numCache>
                <c:formatCode>General</c:formatCode>
                <c:ptCount val="10"/>
                <c:pt idx="0">
                  <c:v>-791670.68920000014</c:v>
                </c:pt>
                <c:pt idx="1">
                  <c:v>-761274.72154000006</c:v>
                </c:pt>
                <c:pt idx="2">
                  <c:v>-392489.27432368009</c:v>
                </c:pt>
                <c:pt idx="3">
                  <c:v>-214055.12404331996</c:v>
                </c:pt>
                <c:pt idx="4">
                  <c:v>213251.08052513297</c:v>
                </c:pt>
                <c:pt idx="5">
                  <c:v>441037.87154728209</c:v>
                </c:pt>
                <c:pt idx="6">
                  <c:v>453049.03516689909</c:v>
                </c:pt>
                <c:pt idx="7">
                  <c:v>634178.72698260809</c:v>
                </c:pt>
                <c:pt idx="8">
                  <c:v>631735.91093987843</c:v>
                </c:pt>
                <c:pt idx="9">
                  <c:v>859548.95293742849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8-F54F-BDD6-193A03264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792847"/>
        <c:axId val="104829856"/>
      </c:barChart>
      <c:catAx>
        <c:axId val="123279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9856"/>
        <c:crosses val="autoZero"/>
        <c:auto val="1"/>
        <c:lblAlgn val="ctr"/>
        <c:lblOffset val="100"/>
        <c:noMultiLvlLbl val="0"/>
      </c:catAx>
      <c:valAx>
        <c:axId val="1048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79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Scale-Up Trajectory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'Chart Data'!$A$16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'Chart Data'!$B$15:$K$15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Data'!$B$16:$K$16</c:f>
              <c:numCache>
                <c:formatCode>General</c:formatCode>
                <c:ptCount val="10"/>
                <c:pt idx="0">
                  <c:v>584800.64799999993</c:v>
                </c:pt>
                <c:pt idx="1">
                  <c:v>1205553.4572000001</c:v>
                </c:pt>
                <c:pt idx="2">
                  <c:v>2069745.0476191998</c:v>
                </c:pt>
                <c:pt idx="3">
                  <c:v>2877110.6754926401</c:v>
                </c:pt>
                <c:pt idx="4">
                  <c:v>4131015.4205565937</c:v>
                </c:pt>
                <c:pt idx="5">
                  <c:v>4676081.5232860502</c:v>
                </c:pt>
                <c:pt idx="6">
                  <c:v>5197545.3764527719</c:v>
                </c:pt>
                <c:pt idx="7">
                  <c:v>5779105.1736153392</c:v>
                </c:pt>
                <c:pt idx="8">
                  <c:v>6287807.5386141911</c:v>
                </c:pt>
                <c:pt idx="9">
                  <c:v>6941838.6186841698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F-EB45-A7E2-C33814AFF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569279"/>
        <c:axId val="1251195087"/>
      </c:areaChart>
      <c:catAx>
        <c:axId val="1065569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195087"/>
        <c:crosses val="autoZero"/>
        <c:auto val="1"/>
        <c:lblAlgn val="ctr"/>
        <c:lblOffset val="100"/>
        <c:noMultiLvlLbl val="0"/>
      </c:catAx>
      <c:valAx>
        <c:axId val="125119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569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Platform LTV/CAC Ratio (Year 1-10)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'Unit Economics'!$A$14</c:f>
              <c:strCache>
                <c:ptCount val="1"/>
                <c:pt idx="0">
                  <c:v>LTV / CAC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'Unit Economics'!$B$14:$K$14</c:f>
              <c:numCache>
                <c:formatCode>0.0\x</c:formatCode>
                <c:ptCount val="10"/>
                <c:pt idx="0">
                  <c:v>9.107999999999997</c:v>
                </c:pt>
                <c:pt idx="1">
                  <c:v>9.5000399999999985</c:v>
                </c:pt>
                <c:pt idx="2">
                  <c:v>9.8997911999999992</c:v>
                </c:pt>
                <c:pt idx="3">
                  <c:v>10.307484936000002</c:v>
                </c:pt>
                <c:pt idx="4">
                  <c:v>10.72335948408</c:v>
                </c:pt>
                <c:pt idx="5">
                  <c:v>11.066660268602401</c:v>
                </c:pt>
                <c:pt idx="6">
                  <c:v>11.445640076660473</c:v>
                </c:pt>
                <c:pt idx="7">
                  <c:v>11.806559278960288</c:v>
                </c:pt>
                <c:pt idx="8">
                  <c:v>12.149686057329097</c:v>
                </c:pt>
                <c:pt idx="9">
                  <c:v>12.529296639048971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2-A940-B2EC-F80B9DDC8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155344"/>
        <c:axId val="1810663167"/>
      </c:lineChart>
      <c:catAx>
        <c:axId val="1878155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663167"/>
        <c:crosses val="autoZero"/>
        <c:auto val="1"/>
        <c:lblAlgn val="ctr"/>
        <c:lblOffset val="100"/>
        <c:noMultiLvlLbl val="0"/>
      </c:catAx>
      <c:valAx>
        <c:axId val="18106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5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LTV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 Economics'!$A$13</c:f>
              <c:strCache>
                <c:ptCount val="1"/>
                <c:pt idx="0">
                  <c:v>LTV per Consumer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'Unit Economics'!$B$13:$K$13</c:f>
              <c:numCache>
                <c:formatCode>"$"#,##0.00</c:formatCode>
                <c:ptCount val="10"/>
                <c:pt idx="0">
                  <c:v>227.69999999999993</c:v>
                </c:pt>
                <c:pt idx="1">
                  <c:v>237.50099999999998</c:v>
                </c:pt>
                <c:pt idx="2">
                  <c:v>247.49477999999999</c:v>
                </c:pt>
                <c:pt idx="3">
                  <c:v>257.68712340000002</c:v>
                </c:pt>
                <c:pt idx="4">
                  <c:v>268.08398710199998</c:v>
                </c:pt>
                <c:pt idx="5">
                  <c:v>276.66650671506005</c:v>
                </c:pt>
                <c:pt idx="6">
                  <c:v>286.14100191651181</c:v>
                </c:pt>
                <c:pt idx="7">
                  <c:v>295.16398197400719</c:v>
                </c:pt>
                <c:pt idx="8">
                  <c:v>303.74215143322743</c:v>
                </c:pt>
                <c:pt idx="9">
                  <c:v>313.23241597622427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E-B84E-ABBA-410F33E36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867888"/>
        <c:axId val="557962448"/>
      </c:barChart>
      <c:catAx>
        <c:axId val="620867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962448"/>
        <c:crosses val="autoZero"/>
        <c:auto val="1"/>
        <c:lblAlgn val="ctr"/>
        <c:lblOffset val="100"/>
        <c:noMultiLvlLbl val="0"/>
      </c:catAx>
      <c:valAx>
        <c:axId val="5579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86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per Corporate Client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 Economics'!$A$37</c:f>
              <c:strCache>
                <c:ptCount val="1"/>
                <c:pt idx="0">
                  <c:v>Revenue per Client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'Unit Economics'!$B$37:$K$37</c:f>
              <c:numCache>
                <c:formatCode>"$"#,##0</c:formatCode>
                <c:ptCount val="10"/>
                <c:pt idx="0">
                  <c:v>37500</c:v>
                </c:pt>
                <c:pt idx="1">
                  <c:v>45500</c:v>
                </c:pt>
                <c:pt idx="2">
                  <c:v>45500</c:v>
                </c:pt>
                <c:pt idx="3">
                  <c:v>45500</c:v>
                </c:pt>
                <c:pt idx="4">
                  <c:v>45500</c:v>
                </c:pt>
                <c:pt idx="5">
                  <c:v>45500</c:v>
                </c:pt>
                <c:pt idx="6">
                  <c:v>45500</c:v>
                </c:pt>
                <c:pt idx="7">
                  <c:v>45500</c:v>
                </c:pt>
                <c:pt idx="8">
                  <c:v>45500</c:v>
                </c:pt>
                <c:pt idx="9">
                  <c:v>45500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2-4347-9586-7862AB9A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209904"/>
        <c:axId val="764270832"/>
      </c:barChart>
      <c:catAx>
        <c:axId val="764209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70832"/>
        <c:crosses val="autoZero"/>
        <c:auto val="1"/>
        <c:lblAlgn val="ctr"/>
        <c:lblOffset val="100"/>
        <c:noMultiLvlLbl val="0"/>
      </c:catAx>
      <c:valAx>
        <c:axId val="7642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0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Corporate Client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Data'!$A$100</c:f>
              <c:strCache>
                <c:ptCount val="1"/>
                <c:pt idx="0">
                  <c:v>Active Clients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Data'!$B$99:$K$99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Data'!$B$100:$K$100</c:f>
              <c:numCache>
                <c:formatCode>General</c:formatCode>
                <c:ptCount val="10"/>
                <c:pt idx="0">
                  <c:v>5</c:v>
                </c:pt>
                <c:pt idx="1">
                  <c:v>12</c:v>
                </c:pt>
                <c:pt idx="2">
                  <c:v>20</c:v>
                </c:pt>
                <c:pt idx="3">
                  <c:v>30</c:v>
                </c:pt>
                <c:pt idx="4">
                  <c:v>45</c:v>
                </c:pt>
                <c:pt idx="5">
                  <c:v>52</c:v>
                </c:pt>
                <c:pt idx="6">
                  <c:v>58</c:v>
                </c:pt>
                <c:pt idx="7">
                  <c:v>65</c:v>
                </c:pt>
                <c:pt idx="8">
                  <c:v>72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2-DE40-BFE5-F7F755363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005535"/>
        <c:axId val="1878965600"/>
      </c:barChart>
      <c:catAx>
        <c:axId val="123300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965600"/>
        <c:crosses val="autoZero"/>
        <c:auto val="1"/>
        <c:lblAlgn val="ctr"/>
        <c:lblOffset val="100"/>
        <c:noMultiLvlLbl val="0"/>
      </c:catAx>
      <c:valAx>
        <c:axId val="187896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0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Value Bridge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Data'!$B$65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Data'!$A$66:$A$69</c:f>
              <c:strCache>
                <c:ptCount val="4"/>
                <c:pt idx="0">
                  <c:v>PV of FCFs</c:v>
                </c:pt>
                <c:pt idx="1">
                  <c:v>PV of Terminal Value (Perp)</c:v>
                </c:pt>
                <c:pt idx="2">
                  <c:v>PV of Terminal Value (Mult)</c:v>
                </c:pt>
                <c:pt idx="3">
                  <c:v>Enterprise Value (Avg)</c:v>
                </c:pt>
              </c:strCache>
            </c:strRef>
          </c:cat>
          <c:val>
            <c:numRef>
              <c:f>'Chart Data'!$B$66:$B$69</c:f>
              <c:numCache>
                <c:formatCode>General</c:formatCode>
                <c:ptCount val="4"/>
                <c:pt idx="0">
                  <c:v>-578122.62367455103</c:v>
                </c:pt>
                <c:pt idx="1">
                  <c:v>1823678.1332422639</c:v>
                </c:pt>
                <c:pt idx="2">
                  <c:v>4773233.8905341709</c:v>
                </c:pt>
                <c:pt idx="3">
                  <c:v>2720333.3882136662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83-2940-84F8-E86266C14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32832"/>
        <c:axId val="19242384"/>
      </c:barChart>
      <c:catAx>
        <c:axId val="19232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384"/>
        <c:crosses val="autoZero"/>
        <c:auto val="1"/>
        <c:lblAlgn val="ctr"/>
        <c:lblOffset val="100"/>
        <c:noMultiLvlLbl val="0"/>
      </c:catAx>
      <c:valAx>
        <c:axId val="1924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Unlevered FCF Forecast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'DCF Valuation'!$A$18</c:f>
              <c:strCache>
                <c:ptCount val="1"/>
                <c:pt idx="0">
                  <c:v>UNLEVERED FREE 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'DCF Valuation'!$B$18:$K$18</c:f>
              <c:numCache>
                <c:formatCode>"$"#,##0;\("$"#,##0\);\-</c:formatCode>
                <c:ptCount val="10"/>
                <c:pt idx="0">
                  <c:v>-791670.68920000014</c:v>
                </c:pt>
                <c:pt idx="1">
                  <c:v>-761274.72154000006</c:v>
                </c:pt>
                <c:pt idx="2">
                  <c:v>-392489.27432368009</c:v>
                </c:pt>
                <c:pt idx="3">
                  <c:v>-214055.12404331996</c:v>
                </c:pt>
                <c:pt idx="4">
                  <c:v>213251.08052513297</c:v>
                </c:pt>
                <c:pt idx="5">
                  <c:v>441037.87154728209</c:v>
                </c:pt>
                <c:pt idx="6">
                  <c:v>453049.03516689903</c:v>
                </c:pt>
                <c:pt idx="7">
                  <c:v>634178.72698260797</c:v>
                </c:pt>
                <c:pt idx="8">
                  <c:v>631735.91093987843</c:v>
                </c:pt>
                <c:pt idx="9">
                  <c:v>859548.95293742861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0E-9C4D-9E02-9BCA17174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977071"/>
        <c:axId val="1761435455"/>
      </c:barChart>
      <c:catAx>
        <c:axId val="1611977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435455"/>
        <c:crosses val="autoZero"/>
        <c:auto val="1"/>
        <c:lblAlgn val="ctr"/>
        <c:lblOffset val="100"/>
        <c:noMultiLvlLbl val="0"/>
      </c:catAx>
      <c:valAx>
        <c:axId val="176143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97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SOTP Value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Data'!$H$20</c:f>
              <c:strCache>
                <c:ptCount val="1"/>
                <c:pt idx="0">
                  <c:v>Value</c:v>
                </c:pt>
              </c:strCache>
            </c:strRef>
          </c:tx>
          <c:explosion val="2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'Chart Data'!$G$21:$G$24</c:f>
              <c:strCache>
                <c:ptCount val="4"/>
                <c:pt idx="0">
                  <c:v>Platform</c:v>
                </c:pt>
                <c:pt idx="1">
                  <c:v>Creator</c:v>
                </c:pt>
                <c:pt idx="2">
                  <c:v>Venue</c:v>
                </c:pt>
                <c:pt idx="3">
                  <c:v>Corporate</c:v>
                </c:pt>
              </c:strCache>
            </c:strRef>
          </c:cat>
          <c:val>
            <c:numRef>
              <c:f>'Chart Data'!$H$21:$H$24</c:f>
              <c:numCache>
                <c:formatCode>General</c:formatCode>
                <c:ptCount val="4"/>
                <c:pt idx="0">
                  <c:v>9299281.553392062</c:v>
                </c:pt>
                <c:pt idx="1">
                  <c:v>1417886.8746224786</c:v>
                </c:pt>
                <c:pt idx="2">
                  <c:v>631665.80340963358</c:v>
                </c:pt>
                <c:pt idx="3">
                  <c:v>7280000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4-E845-B33D-15C25B250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Debt Outstanding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'LBO Analysis'!$A$38</c:f>
              <c:strCache>
                <c:ptCount val="1"/>
                <c:pt idx="0">
                  <c:v>Net Debt / 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'LBO Analysis'!$B$38:$G$38</c:f>
              <c:numCache>
                <c:formatCode>"$"#,##0;\("$"#,##0\);\-</c:formatCode>
                <c:ptCount val="6"/>
                <c:pt idx="0" formatCode="&quot;$&quot;#,##0">
                  <c:v>3358703.7597934771</c:v>
                </c:pt>
                <c:pt idx="1">
                  <c:v>3135517.7255117865</c:v>
                </c:pt>
                <c:pt idx="2">
                  <c:v>2893917.4752559182</c:v>
                </c:pt>
                <c:pt idx="3">
                  <c:v>2550388.1805126453</c:v>
                </c:pt>
                <c:pt idx="4">
                  <c:v>2195476.6743964651</c:v>
                </c:pt>
                <c:pt idx="5">
                  <c:v>1710531.5209723089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0-EF42-8175-E6B3A6F1A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5526351"/>
        <c:axId val="764093488"/>
      </c:barChart>
      <c:catAx>
        <c:axId val="1765526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093488"/>
        <c:crosses val="autoZero"/>
        <c:auto val="1"/>
        <c:lblAlgn val="ctr"/>
        <c:lblOffset val="100"/>
        <c:noMultiLvlLbl val="0"/>
      </c:catAx>
      <c:valAx>
        <c:axId val="76409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2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LBO Value Creation ($000s)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Data'!$B$126</c:f>
              <c:strCache>
                <c:ptCount val="1"/>
                <c:pt idx="0">
                  <c:v>Value ($000s)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Data'!$A$127:$A$130</c:f>
              <c:strCache>
                <c:ptCount val="4"/>
                <c:pt idx="0">
                  <c:v>Sponsor Equity In</c:v>
                </c:pt>
                <c:pt idx="1">
                  <c:v>Equity Value at Exit</c:v>
                </c:pt>
                <c:pt idx="2">
                  <c:v>Debt Paydown</c:v>
                </c:pt>
                <c:pt idx="3">
                  <c:v>Management Share</c:v>
                </c:pt>
              </c:strCache>
            </c:strRef>
          </c:cat>
          <c:val>
            <c:numRef>
              <c:f>'Chart Data'!$B$127:$B$130</c:f>
              <c:numCache>
                <c:formatCode>General</c:formatCode>
                <c:ptCount val="4"/>
                <c:pt idx="0">
                  <c:v>2854.8981958244553</c:v>
                </c:pt>
                <c:pt idx="1">
                  <c:v>14959.882503838151</c:v>
                </c:pt>
                <c:pt idx="2">
                  <c:v>1648.1722388211681</c:v>
                </c:pt>
                <c:pt idx="3">
                  <c:v>2639.9792653832033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1-0A45-9FEE-E775AC26F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3011647"/>
        <c:axId val="104061440"/>
      </c:barChart>
      <c:catAx>
        <c:axId val="123301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1440"/>
        <c:crosses val="autoZero"/>
        <c:auto val="1"/>
        <c:lblAlgn val="ctr"/>
        <c:lblOffset val="100"/>
        <c:noMultiLvlLbl val="0"/>
      </c:catAx>
      <c:valAx>
        <c:axId val="10406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1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Growth Through Hold Period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'LBO Analysis'!$A$22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'LBO Analysis'!$B$22:$G$22</c:f>
              <c:numCache>
                <c:formatCode>"$"#,##0;\("$"#,##0\);\-</c:formatCode>
                <c:ptCount val="6"/>
                <c:pt idx="1">
                  <c:v>911168.83267372777</c:v>
                </c:pt>
                <c:pt idx="2">
                  <c:v>954215.76255930611</c:v>
                </c:pt>
                <c:pt idx="3">
                  <c:v>1235087.3075123539</c:v>
                </c:pt>
                <c:pt idx="4">
                  <c:v>1252885.2273745197</c:v>
                </c:pt>
                <c:pt idx="5">
                  <c:v>1609199.4408494718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0-2247-B8B2-8033D0474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534559"/>
        <c:axId val="103914400"/>
      </c:barChart>
      <c:catAx>
        <c:axId val="17495345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14400"/>
        <c:crosses val="autoZero"/>
        <c:auto val="1"/>
        <c:lblAlgn val="ctr"/>
        <c:lblOffset val="100"/>
        <c:noMultiLvlLbl val="0"/>
      </c:catAx>
      <c:valAx>
        <c:axId val="1039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3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Y5 Revenue by Scenario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Data'!$A$40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Data'!$B$40:$E$40</c:f>
              <c:numCache>
                <c:formatCode>General</c:formatCode>
                <c:ptCount val="4"/>
                <c:pt idx="0">
                  <c:v>4131015.4205565937</c:v>
                </c:pt>
                <c:pt idx="1">
                  <c:v>5783421.5887792306</c:v>
                </c:pt>
                <c:pt idx="2">
                  <c:v>2478609.2523339563</c:v>
                </c:pt>
                <c:pt idx="3">
                  <c:v>1445855.3971948077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E-EB48-BE67-2DC29F7EE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378288"/>
        <c:axId val="621436016"/>
      </c:barChart>
      <c:catAx>
        <c:axId val="62137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36016"/>
        <c:crosses val="autoZero"/>
        <c:auto val="1"/>
        <c:lblAlgn val="ctr"/>
        <c:lblOffset val="100"/>
        <c:noMultiLvlLbl val="0"/>
      </c:catAx>
      <c:valAx>
        <c:axId val="62143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7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Y5 Revenue &amp; EBITDA by Scenario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Data'!$A$40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Data'!$B$40:$E$40</c:f>
              <c:numCache>
                <c:formatCode>General</c:formatCode>
                <c:ptCount val="4"/>
                <c:pt idx="0">
                  <c:v>4131015.4205565937</c:v>
                </c:pt>
                <c:pt idx="1">
                  <c:v>5783421.5887792306</c:v>
                </c:pt>
                <c:pt idx="2">
                  <c:v>2478609.2523339563</c:v>
                </c:pt>
                <c:pt idx="3">
                  <c:v>1445855.3971948077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3-0245-AD9C-1EE23BF7B859}"/>
            </c:ext>
          </c:extLst>
        </c:ser>
        <c:ser>
          <c:idx val="1"/>
          <c:order val="1"/>
          <c:tx>
            <c:strRef>
              <c:f>'Chart Data'!$A$41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Data'!$B$41:$E$41</c:f>
              <c:numCache>
                <c:formatCode>General</c:formatCode>
                <c:ptCount val="4"/>
                <c:pt idx="0">
                  <c:v>652175.48733853921</c:v>
                </c:pt>
                <c:pt idx="1">
                  <c:v>1619358.0448581846</c:v>
                </c:pt>
                <c:pt idx="2">
                  <c:v>123930.46261669783</c:v>
                </c:pt>
                <c:pt idx="3">
                  <c:v>-144585.53971948076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E3-0245-AD9C-1EE23BF7B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2436015"/>
        <c:axId val="1611727247"/>
      </c:barChart>
      <c:catAx>
        <c:axId val="1612436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727247"/>
        <c:crosses val="autoZero"/>
        <c:auto val="1"/>
        <c:lblAlgn val="ctr"/>
        <c:lblOffset val="100"/>
        <c:noMultiLvlLbl val="0"/>
      </c:catAx>
      <c:valAx>
        <c:axId val="161172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43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Valuation Comparison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Data'!$A$40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Data'!$B$40:$E$40</c:f>
              <c:numCache>
                <c:formatCode>General</c:formatCode>
                <c:ptCount val="4"/>
                <c:pt idx="0">
                  <c:v>4131015.4205565937</c:v>
                </c:pt>
                <c:pt idx="1">
                  <c:v>5783421.5887792306</c:v>
                </c:pt>
                <c:pt idx="2">
                  <c:v>2478609.2523339563</c:v>
                </c:pt>
                <c:pt idx="3">
                  <c:v>1445855.3971948077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3-7E4A-9E7E-7F31F8BCD9C3}"/>
            </c:ext>
          </c:extLst>
        </c:ser>
        <c:ser>
          <c:idx val="1"/>
          <c:order val="1"/>
          <c:tx>
            <c:strRef>
              <c:f>'Chart Data'!$A$41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Data'!$B$41:$E$41</c:f>
              <c:numCache>
                <c:formatCode>General</c:formatCode>
                <c:ptCount val="4"/>
                <c:pt idx="0">
                  <c:v>652175.48733853921</c:v>
                </c:pt>
                <c:pt idx="1">
                  <c:v>1619358.0448581846</c:v>
                </c:pt>
                <c:pt idx="2">
                  <c:v>123930.46261669783</c:v>
                </c:pt>
                <c:pt idx="3">
                  <c:v>-144585.53971948076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3-7E4A-9E7E-7F31F8BCD9C3}"/>
            </c:ext>
          </c:extLst>
        </c:ser>
        <c:ser>
          <c:idx val="2"/>
          <c:order val="2"/>
          <c:tx>
            <c:strRef>
              <c:f>'Chart Data'!$A$42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Data'!$B$42:$E$42</c:f>
              <c:numCache>
                <c:formatCode>General</c:formatCode>
                <c:ptCount val="4"/>
                <c:pt idx="0">
                  <c:v>213251.08052513297</c:v>
                </c:pt>
                <c:pt idx="1">
                  <c:v>1052582.7291578201</c:v>
                </c:pt>
                <c:pt idx="2">
                  <c:v>37179.138785009345</c:v>
                </c:pt>
                <c:pt idx="3">
                  <c:v>-72292.76985974038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E3-7E4A-9E7E-7F31F8BCD9C3}"/>
            </c:ext>
          </c:extLst>
        </c:ser>
        <c:ser>
          <c:idx val="3"/>
          <c:order val="3"/>
          <c:tx>
            <c:strRef>
              <c:f>'Chart Data'!$A$43</c:f>
              <c:strCache>
                <c:ptCount val="1"/>
                <c:pt idx="0">
                  <c:v>Implied EV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Data'!$B$43:$E$43</c:f>
              <c:numCache>
                <c:formatCode>General</c:formatCode>
                <c:ptCount val="4"/>
                <c:pt idx="0">
                  <c:v>7826105.8480624706</c:v>
                </c:pt>
                <c:pt idx="1">
                  <c:v>22671012.628014587</c:v>
                </c:pt>
                <c:pt idx="2">
                  <c:v>991443.70093358262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E3-7E4A-9E7E-7F31F8BCD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087200"/>
        <c:axId val="763417344"/>
      </c:barChart>
      <c:catAx>
        <c:axId val="83008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17344"/>
        <c:crosses val="autoZero"/>
        <c:auto val="1"/>
        <c:lblAlgn val="ctr"/>
        <c:lblOffset val="100"/>
        <c:noMultiLvlLbl val="0"/>
      </c:catAx>
      <c:valAx>
        <c:axId val="7634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08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EV at 15% WACC Across Terminal Growth Rates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'Sensitivity Tables'!$A$8:$H$8</c:f>
              <c:numCache>
                <c:formatCode>"$"#,##0</c:formatCode>
                <c:ptCount val="8"/>
                <c:pt idx="0" formatCode="0.0%">
                  <c:v>0.15</c:v>
                </c:pt>
                <c:pt idx="1">
                  <c:v>954677.58262893325</c:v>
                </c:pt>
                <c:pt idx="2">
                  <c:v>1088928.9335237546</c:v>
                </c:pt>
                <c:pt idx="3">
                  <c:v>1164109.6900248544</c:v>
                </c:pt>
                <c:pt idx="4">
                  <c:v>1245555.5095677129</c:v>
                </c:pt>
                <c:pt idx="5">
                  <c:v>1334083.5742882111</c:v>
                </c:pt>
                <c:pt idx="6">
                  <c:v>1430659.6448923913</c:v>
                </c:pt>
                <c:pt idx="7">
                  <c:v>1652784.6072820048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6-CC49-9332-AB254CD4E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595103"/>
        <c:axId val="1725996831"/>
      </c:barChart>
      <c:catAx>
        <c:axId val="1612595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96831"/>
        <c:crosses val="autoZero"/>
        <c:auto val="1"/>
        <c:lblAlgn val="ctr"/>
        <c:lblOffset val="100"/>
        <c:noMultiLvlLbl val="0"/>
      </c:catAx>
      <c:valAx>
        <c:axId val="172599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59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LBO MOIC at 10x Entry Across Exit Multiples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'Sensitivity Tables'!$A$19</c:f>
              <c:strCache>
                <c:ptCount val="1"/>
                <c:pt idx="0">
                  <c:v>10x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'Sensitivity Tables'!$B$19:$H$19</c:f>
              <c:numCache>
                <c:formatCode>0.0\x</c:formatCode>
                <c:ptCount val="7"/>
                <c:pt idx="0">
                  <c:v>4.0274486644795111</c:v>
                </c:pt>
                <c:pt idx="1">
                  <c:v>5.1885936933979941</c:v>
                </c:pt>
                <c:pt idx="2">
                  <c:v>5.7691662078572357</c:v>
                </c:pt>
                <c:pt idx="3">
                  <c:v>6.3497387223164781</c:v>
                </c:pt>
                <c:pt idx="4">
                  <c:v>6.9303112367757196</c:v>
                </c:pt>
                <c:pt idx="5">
                  <c:v>7.5108837512349602</c:v>
                </c:pt>
                <c:pt idx="6">
                  <c:v>8.6720287801534433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D-784B-A372-E8102A4F3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300208"/>
        <c:axId val="558490352"/>
      </c:barChart>
      <c:catAx>
        <c:axId val="558300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90352"/>
        <c:crosses val="autoZero"/>
        <c:auto val="1"/>
        <c:lblAlgn val="ctr"/>
        <c:lblOffset val="100"/>
        <c:noMultiLvlLbl val="0"/>
      </c:catAx>
      <c:valAx>
        <c:axId val="5584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30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Heat Map — Probability vs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Data'!$C$145</c:f>
              <c:strCache>
                <c:ptCount val="1"/>
                <c:pt idx="0">
                  <c:v>Impact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'Chart Data'!$B$146:$B$161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</c:numCache>
            </c:numRef>
          </c:xVal>
          <c:yVal>
            <c:numRef>
              <c:f>'Chart Data'!$C$146:$C$161</c:f>
              <c:numCache>
                <c:formatCode>General</c:formatCode>
                <c:ptCount val="1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6-ED4D-9981-1F2D850EC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978848"/>
        <c:axId val="19056192"/>
      </c:scatterChart>
      <c:valAx>
        <c:axId val="126697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6192"/>
        <c:crosses val="autoZero"/>
        <c:crossBetween val="midCat"/>
      </c:valAx>
      <c:valAx>
        <c:axId val="190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7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Segment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'Chart Data'!$A$3</c:f>
              <c:strCache>
                <c:ptCount val="1"/>
                <c:pt idx="0">
                  <c:v>Platform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Data'!$B$3:$K$3</c:f>
              <c:numCache>
                <c:formatCode>General</c:formatCode>
                <c:ptCount val="10"/>
                <c:pt idx="0">
                  <c:v>265097.44799999992</c:v>
                </c:pt>
                <c:pt idx="1">
                  <c:v>460846.94040000002</c:v>
                </c:pt>
                <c:pt idx="2">
                  <c:v>768382.19377919985</c:v>
                </c:pt>
                <c:pt idx="3">
                  <c:v>1000032.1884907201</c:v>
                </c:pt>
                <c:pt idx="4">
                  <c:v>1352494.438289074</c:v>
                </c:pt>
                <c:pt idx="5">
                  <c:v>1503162.3309637271</c:v>
                </c:pt>
                <c:pt idx="6">
                  <c:v>1665684.0003563988</c:v>
                </c:pt>
                <c:pt idx="7">
                  <c:v>1832755.8099915632</c:v>
                </c:pt>
                <c:pt idx="8">
                  <c:v>1933170.5677025933</c:v>
                </c:pt>
                <c:pt idx="9">
                  <c:v>2066507.0118649029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9-5C4E-B872-E6059DA9AF8B}"/>
            </c:ext>
          </c:extLst>
        </c:ser>
        <c:ser>
          <c:idx val="1"/>
          <c:order val="1"/>
          <c:tx>
            <c:strRef>
              <c:f>'Chart Data'!$A$4</c:f>
              <c:strCache>
                <c:ptCount val="1"/>
                <c:pt idx="0">
                  <c:v>Creator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Data'!$B$4:$K$4</c:f>
              <c:numCache>
                <c:formatCode>General</c:formatCode>
                <c:ptCount val="10"/>
                <c:pt idx="0">
                  <c:v>979.19999999999993</c:v>
                </c:pt>
                <c:pt idx="1">
                  <c:v>1815.4368000000002</c:v>
                </c:pt>
                <c:pt idx="2">
                  <c:v>63116.499839999997</c:v>
                </c:pt>
                <c:pt idx="3">
                  <c:v>118065.99345792001</c:v>
                </c:pt>
                <c:pt idx="4">
                  <c:v>205510.49113375999</c:v>
                </c:pt>
                <c:pt idx="5">
                  <c:v>281243.38645455008</c:v>
                </c:pt>
                <c:pt idx="6">
                  <c:v>367015.2960525672</c:v>
                </c:pt>
                <c:pt idx="7">
                  <c:v>462827.9011786562</c:v>
                </c:pt>
                <c:pt idx="8">
                  <c:v>552434.86459312437</c:v>
                </c:pt>
                <c:pt idx="9">
                  <c:v>708943.43731123919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9-5C4E-B872-E6059DA9AF8B}"/>
            </c:ext>
          </c:extLst>
        </c:ser>
        <c:ser>
          <c:idx val="2"/>
          <c:order val="2"/>
          <c:tx>
            <c:strRef>
              <c:f>'Chart Data'!$A$5</c:f>
              <c:strCache>
                <c:ptCount val="1"/>
                <c:pt idx="0">
                  <c:v>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Data'!$B$5:$K$5</c:f>
              <c:numCache>
                <c:formatCode>General</c:formatCode>
                <c:ptCount val="10"/>
                <c:pt idx="0">
                  <c:v>131224</c:v>
                </c:pt>
                <c:pt idx="1">
                  <c:v>196891.08000000002</c:v>
                </c:pt>
                <c:pt idx="2">
                  <c:v>328246.35399999999</c:v>
                </c:pt>
                <c:pt idx="3">
                  <c:v>394012.49354399997</c:v>
                </c:pt>
                <c:pt idx="4">
                  <c:v>525510.49113375996</c:v>
                </c:pt>
                <c:pt idx="5">
                  <c:v>525675.80586777278</c:v>
                </c:pt>
                <c:pt idx="6">
                  <c:v>525846.080043806</c:v>
                </c:pt>
                <c:pt idx="7">
                  <c:v>526021.46244512009</c:v>
                </c:pt>
                <c:pt idx="8">
                  <c:v>526202.10631847382</c:v>
                </c:pt>
                <c:pt idx="9">
                  <c:v>526388.16950802796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49-5C4E-B872-E6059DA9AF8B}"/>
            </c:ext>
          </c:extLst>
        </c:ser>
        <c:ser>
          <c:idx val="3"/>
          <c:order val="3"/>
          <c:tx>
            <c:strRef>
              <c:f>'Chart Data'!$A$6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'Chart Data'!$B$2:$K$2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Data'!$B$6:$K$6</c:f>
              <c:numCache>
                <c:formatCode>General</c:formatCode>
                <c:ptCount val="10"/>
                <c:pt idx="0">
                  <c:v>187500</c:v>
                </c:pt>
                <c:pt idx="1">
                  <c:v>546000</c:v>
                </c:pt>
                <c:pt idx="2">
                  <c:v>910000</c:v>
                </c:pt>
                <c:pt idx="3">
                  <c:v>1365000</c:v>
                </c:pt>
                <c:pt idx="4">
                  <c:v>2047500</c:v>
                </c:pt>
                <c:pt idx="5">
                  <c:v>2366000</c:v>
                </c:pt>
                <c:pt idx="6">
                  <c:v>2639000</c:v>
                </c:pt>
                <c:pt idx="7">
                  <c:v>2957500</c:v>
                </c:pt>
                <c:pt idx="8">
                  <c:v>3276000</c:v>
                </c:pt>
                <c:pt idx="9">
                  <c:v>3640000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49-5C4E-B872-E6059DA9A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156240"/>
        <c:axId val="1251992927"/>
      </c:areaChart>
      <c:catAx>
        <c:axId val="52015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92927"/>
        <c:crosses val="autoZero"/>
        <c:auto val="1"/>
        <c:lblAlgn val="ctr"/>
        <c:lblOffset val="100"/>
        <c:noMultiLvlLbl val="0"/>
      </c:catAx>
      <c:valAx>
        <c:axId val="125199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15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Margin Progression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Data'!$A$10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Data'!$B$9:$K$9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Data'!$B$10:$K$10</c:f>
              <c:numCache>
                <c:formatCode>General</c:formatCode>
                <c:ptCount val="10"/>
                <c:pt idx="0">
                  <c:v>0.49649978335865308</c:v>
                </c:pt>
                <c:pt idx="1">
                  <c:v>0.51695192140501622</c:v>
                </c:pt>
                <c:pt idx="2">
                  <c:v>0.53140400386800424</c:v>
                </c:pt>
                <c:pt idx="3">
                  <c:v>0.53951524116999794</c:v>
                </c:pt>
                <c:pt idx="4">
                  <c:v>0.54815337061449176</c:v>
                </c:pt>
                <c:pt idx="5">
                  <c:v>0.55170929909724564</c:v>
                </c:pt>
                <c:pt idx="6">
                  <c:v>0.55609957795886389</c:v>
                </c:pt>
                <c:pt idx="7">
                  <c:v>0.56032547979515201</c:v>
                </c:pt>
                <c:pt idx="8">
                  <c:v>0.56411878440347629</c:v>
                </c:pt>
                <c:pt idx="9">
                  <c:v>0.57362193015801088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3D-234C-8C75-972A01EA2865}"/>
            </c:ext>
          </c:extLst>
        </c:ser>
        <c:ser>
          <c:idx val="1"/>
          <c:order val="1"/>
          <c:tx>
            <c:strRef>
              <c:f>'Chart Data'!$A$11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Data'!$B$9:$K$9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Data'!$B$11:$K$11</c:f>
              <c:numCache>
                <c:formatCode>General</c:formatCode>
                <c:ptCount val="10"/>
                <c:pt idx="0">
                  <c:v>-1.2237445485183529</c:v>
                </c:pt>
                <c:pt idx="1">
                  <c:v>-0.54028033352978377</c:v>
                </c:pt>
                <c:pt idx="2">
                  <c:v>-0.10622887826792669</c:v>
                </c:pt>
                <c:pt idx="3">
                  <c:v>-1.9499910401785552E-3</c:v>
                </c:pt>
                <c:pt idx="4">
                  <c:v>0.1578729249213667</c:v>
                </c:pt>
                <c:pt idx="5">
                  <c:v>0.19485734543682992</c:v>
                </c:pt>
                <c:pt idx="6">
                  <c:v>0.1835896934892256</c:v>
                </c:pt>
                <c:pt idx="7">
                  <c:v>0.21371601145990185</c:v>
                </c:pt>
                <c:pt idx="8">
                  <c:v>0.19925629397534816</c:v>
                </c:pt>
                <c:pt idx="9">
                  <c:v>0.23181170425343259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3D-234C-8C75-972A01EA2865}"/>
            </c:ext>
          </c:extLst>
        </c:ser>
        <c:ser>
          <c:idx val="2"/>
          <c:order val="2"/>
          <c:tx>
            <c:strRef>
              <c:f>'Chart Data'!$A$12</c:f>
              <c:strCache>
                <c:ptCount val="1"/>
                <c:pt idx="0">
                  <c:v>FCF Margin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Data'!$B$9:$K$9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Data'!$B$12:$K$12</c:f>
              <c:numCache>
                <c:formatCode>General</c:formatCode>
                <c:ptCount val="10"/>
                <c:pt idx="0">
                  <c:v>-1.353744548518353</c:v>
                </c:pt>
                <c:pt idx="1">
                  <c:v>-0.63147321837401138</c:v>
                </c:pt>
                <c:pt idx="2">
                  <c:v>-0.18963170114848457</c:v>
                </c:pt>
                <c:pt idx="3">
                  <c:v>-7.4399336065397573E-2</c:v>
                </c:pt>
                <c:pt idx="4">
                  <c:v>5.1621952187339094E-2</c:v>
                </c:pt>
                <c:pt idx="5">
                  <c:v>9.4317832003354155E-2</c:v>
                </c:pt>
                <c:pt idx="6">
                  <c:v>8.7165960535797504E-2</c:v>
                </c:pt>
                <c:pt idx="7">
                  <c:v>0.10973649171120266</c:v>
                </c:pt>
                <c:pt idx="8">
                  <c:v>0.10046998211384674</c:v>
                </c:pt>
                <c:pt idx="9">
                  <c:v>0.12382151187207469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3D-234C-8C75-972A01EA2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946016"/>
        <c:axId val="557176208"/>
      </c:lineChart>
      <c:catAx>
        <c:axId val="5569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76208"/>
        <c:crosses val="autoZero"/>
        <c:auto val="1"/>
        <c:lblAlgn val="ctr"/>
        <c:lblOffset val="100"/>
        <c:noMultiLvlLbl val="0"/>
      </c:catAx>
      <c:valAx>
        <c:axId val="5571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4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/ EBITDA / FCF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Data'!$B$15:$K$15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Data'!$B$16:$K$16</c:f>
              <c:numCache>
                <c:formatCode>General</c:formatCode>
                <c:ptCount val="10"/>
                <c:pt idx="0">
                  <c:v>584800.64799999993</c:v>
                </c:pt>
                <c:pt idx="1">
                  <c:v>1205553.4572000001</c:v>
                </c:pt>
                <c:pt idx="2">
                  <c:v>2069745.0476191998</c:v>
                </c:pt>
                <c:pt idx="3">
                  <c:v>2877110.6754926401</c:v>
                </c:pt>
                <c:pt idx="4">
                  <c:v>4131015.4205565937</c:v>
                </c:pt>
                <c:pt idx="5">
                  <c:v>4676081.5232860502</c:v>
                </c:pt>
                <c:pt idx="6">
                  <c:v>5197545.3764527719</c:v>
                </c:pt>
                <c:pt idx="7">
                  <c:v>5779105.1736153392</c:v>
                </c:pt>
                <c:pt idx="8">
                  <c:v>6287807.5386141911</c:v>
                </c:pt>
                <c:pt idx="9">
                  <c:v>6941838.6186841698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8-1846-AB8E-935628A47A76}"/>
            </c:ext>
          </c:extLst>
        </c:ser>
        <c:ser>
          <c:idx val="1"/>
          <c:order val="1"/>
          <c:tx>
            <c:strRef>
              <c:f>'Chart Data'!$A$17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Data'!$B$15:$K$15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Data'!$B$17:$K$17</c:f>
              <c:numCache>
                <c:formatCode>General</c:formatCode>
                <c:ptCount val="10"/>
                <c:pt idx="0">
                  <c:v>-715646.60496000014</c:v>
                </c:pt>
                <c:pt idx="1">
                  <c:v>-651336.82394399995</c:v>
                </c:pt>
                <c:pt idx="2">
                  <c:v>-219866.69470918411</c:v>
                </c:pt>
                <c:pt idx="3">
                  <c:v>-5610.3400388127193</c:v>
                </c:pt>
                <c:pt idx="4">
                  <c:v>652175.48733853921</c:v>
                </c:pt>
                <c:pt idx="5">
                  <c:v>911168.83267372777</c:v>
                </c:pt>
                <c:pt idx="6">
                  <c:v>954215.76255930611</c:v>
                </c:pt>
                <c:pt idx="7">
                  <c:v>1235087.3075123539</c:v>
                </c:pt>
                <c:pt idx="8">
                  <c:v>1252885.2273745197</c:v>
                </c:pt>
                <c:pt idx="9">
                  <c:v>1609199.4408494718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8-1846-AB8E-935628A47A76}"/>
            </c:ext>
          </c:extLst>
        </c:ser>
        <c:ser>
          <c:idx val="2"/>
          <c:order val="2"/>
          <c:tx>
            <c:strRef>
              <c:f>'Chart Data'!$A$18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Data'!$B$15:$K$15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Data'!$B$18:$K$18</c:f>
              <c:numCache>
                <c:formatCode>General</c:formatCode>
                <c:ptCount val="10"/>
                <c:pt idx="0">
                  <c:v>-791670.68920000014</c:v>
                </c:pt>
                <c:pt idx="1">
                  <c:v>-761274.72154000006</c:v>
                </c:pt>
                <c:pt idx="2">
                  <c:v>-392489.27432368009</c:v>
                </c:pt>
                <c:pt idx="3">
                  <c:v>-214055.12404331996</c:v>
                </c:pt>
                <c:pt idx="4">
                  <c:v>213251.08052513297</c:v>
                </c:pt>
                <c:pt idx="5">
                  <c:v>441037.87154728209</c:v>
                </c:pt>
                <c:pt idx="6">
                  <c:v>453049.03516689909</c:v>
                </c:pt>
                <c:pt idx="7">
                  <c:v>634178.72698260809</c:v>
                </c:pt>
                <c:pt idx="8">
                  <c:v>631735.91093987843</c:v>
                </c:pt>
                <c:pt idx="9">
                  <c:v>859548.95293742849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28-1846-AB8E-935628A47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880447"/>
        <c:axId val="1232866879"/>
      </c:barChart>
      <c:catAx>
        <c:axId val="123288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866879"/>
        <c:crosses val="autoZero"/>
        <c:auto val="1"/>
        <c:lblAlgn val="ctr"/>
        <c:lblOffset val="100"/>
        <c:noMultiLvlLbl val="0"/>
      </c:catAx>
      <c:valAx>
        <c:axId val="123286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88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Analysis — Year 5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Data'!$A$40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Data'!$B$40:$E$40</c:f>
              <c:numCache>
                <c:formatCode>General</c:formatCode>
                <c:ptCount val="4"/>
                <c:pt idx="0">
                  <c:v>4131015.4205565937</c:v>
                </c:pt>
                <c:pt idx="1">
                  <c:v>5783421.5887792306</c:v>
                </c:pt>
                <c:pt idx="2">
                  <c:v>2478609.2523339563</c:v>
                </c:pt>
                <c:pt idx="3">
                  <c:v>1445855.3971948077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8-F240-AC7F-20964B01194B}"/>
            </c:ext>
          </c:extLst>
        </c:ser>
        <c:ser>
          <c:idx val="1"/>
          <c:order val="1"/>
          <c:tx>
            <c:strRef>
              <c:f>'Chart Data'!$A$41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Data'!$B$41:$E$41</c:f>
              <c:numCache>
                <c:formatCode>General</c:formatCode>
                <c:ptCount val="4"/>
                <c:pt idx="0">
                  <c:v>652175.48733853921</c:v>
                </c:pt>
                <c:pt idx="1">
                  <c:v>1619358.0448581846</c:v>
                </c:pt>
                <c:pt idx="2">
                  <c:v>123930.46261669783</c:v>
                </c:pt>
                <c:pt idx="3">
                  <c:v>-144585.53971948076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8-F240-AC7F-20964B01194B}"/>
            </c:ext>
          </c:extLst>
        </c:ser>
        <c:ser>
          <c:idx val="2"/>
          <c:order val="2"/>
          <c:tx>
            <c:strRef>
              <c:f>'Chart Data'!$A$42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Data'!$B$42:$E$42</c:f>
              <c:numCache>
                <c:formatCode>General</c:formatCode>
                <c:ptCount val="4"/>
                <c:pt idx="0">
                  <c:v>213251.08052513297</c:v>
                </c:pt>
                <c:pt idx="1">
                  <c:v>1052582.7291578201</c:v>
                </c:pt>
                <c:pt idx="2">
                  <c:v>37179.138785009345</c:v>
                </c:pt>
                <c:pt idx="3">
                  <c:v>-72292.76985974038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38-F240-AC7F-20964B01194B}"/>
            </c:ext>
          </c:extLst>
        </c:ser>
        <c:ser>
          <c:idx val="3"/>
          <c:order val="3"/>
          <c:tx>
            <c:strRef>
              <c:f>'Chart Data'!$A$43</c:f>
              <c:strCache>
                <c:ptCount val="1"/>
                <c:pt idx="0">
                  <c:v>Implied EV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Data'!$B$39:$E$39</c:f>
              <c:strCache>
                <c:ptCount val="4"/>
                <c:pt idx="0">
                  <c:v>Base</c:v>
                </c:pt>
                <c:pt idx="1">
                  <c:v>Upside</c:v>
                </c:pt>
                <c:pt idx="2">
                  <c:v>Downside</c:v>
                </c:pt>
                <c:pt idx="3">
                  <c:v>Stress</c:v>
                </c:pt>
              </c:strCache>
            </c:strRef>
          </c:cat>
          <c:val>
            <c:numRef>
              <c:f>'Chart Data'!$B$43:$E$43</c:f>
              <c:numCache>
                <c:formatCode>General</c:formatCode>
                <c:ptCount val="4"/>
                <c:pt idx="0">
                  <c:v>7826105.8480624706</c:v>
                </c:pt>
                <c:pt idx="1">
                  <c:v>22671012.628014587</c:v>
                </c:pt>
                <c:pt idx="2">
                  <c:v>991443.70093358262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38-F240-AC7F-20964B011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1914991"/>
        <c:axId val="1251944671"/>
      </c:barChart>
      <c:catAx>
        <c:axId val="1251914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44671"/>
        <c:crosses val="autoZero"/>
        <c:auto val="1"/>
        <c:lblAlgn val="ctr"/>
        <c:lblOffset val="100"/>
        <c:noMultiLvlLbl val="0"/>
      </c:catAx>
      <c:valAx>
        <c:axId val="125194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1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vs Variable Cost Structure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Data'!$A$29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Data'!$B$28:$K$28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Data'!$B$29:$K$29</c:f>
              <c:numCache>
                <c:formatCode>General</c:formatCode>
                <c:ptCount val="10"/>
                <c:pt idx="0">
                  <c:v>906700</c:v>
                </c:pt>
                <c:pt idx="1">
                  <c:v>1170285</c:v>
                </c:pt>
                <c:pt idx="2">
                  <c:v>1210259.25</c:v>
                </c:pt>
                <c:pt idx="3">
                  <c:v>1442903.2375000003</c:v>
                </c:pt>
                <c:pt idx="4">
                  <c:v>1491554.7688749998</c:v>
                </c:pt>
                <c:pt idx="5">
                  <c:v>1541934.0679037496</c:v>
                </c:pt>
                <c:pt idx="6">
                  <c:v>1803065.5305940621</c:v>
                </c:pt>
                <c:pt idx="7">
                  <c:v>1863367.4997105405</c:v>
                </c:pt>
                <c:pt idx="8">
                  <c:v>2147473.7923032781</c:v>
                </c:pt>
                <c:pt idx="9">
                  <c:v>2218744.5345988953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4-4A49-88C8-F1F71E3907F4}"/>
            </c:ext>
          </c:extLst>
        </c:ser>
        <c:ser>
          <c:idx val="1"/>
          <c:order val="1"/>
          <c:tx>
            <c:strRef>
              <c:f>'Chart Data'!$A$30</c:f>
              <c:strCache>
                <c:ptCount val="1"/>
                <c:pt idx="0">
                  <c:v>Variable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Data'!$B$28:$K$28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Data'!$B$30:$K$30</c:f>
              <c:numCache>
                <c:formatCode>General</c:formatCode>
                <c:ptCount val="10"/>
                <c:pt idx="0">
                  <c:v>393747.25296000001</c:v>
                </c:pt>
                <c:pt idx="1">
                  <c:v>686605.28114400001</c:v>
                </c:pt>
                <c:pt idx="2">
                  <c:v>1079352.492328384</c:v>
                </c:pt>
                <c:pt idx="3">
                  <c:v>1439817.7780314528</c:v>
                </c:pt>
                <c:pt idx="4">
                  <c:v>1987285.1643430542</c:v>
                </c:pt>
                <c:pt idx="5">
                  <c:v>2222978.622708573</c:v>
                </c:pt>
                <c:pt idx="6">
                  <c:v>2440264.0832994035</c:v>
                </c:pt>
                <c:pt idx="7">
                  <c:v>2680650.3663924448</c:v>
                </c:pt>
                <c:pt idx="8">
                  <c:v>2887448.5189363933</c:v>
                </c:pt>
                <c:pt idx="9">
                  <c:v>3113894.6432358027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4-4A49-88C8-F1F71E390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0718543"/>
        <c:axId val="1611689455"/>
      </c:barChart>
      <c:catAx>
        <c:axId val="176071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689455"/>
        <c:crosses val="autoZero"/>
        <c:auto val="1"/>
        <c:lblAlgn val="ctr"/>
        <c:lblOffset val="100"/>
        <c:noMultiLvlLbl val="0"/>
      </c:catAx>
      <c:valAx>
        <c:axId val="161168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71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Margin by Segment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Data'!$A$52</c:f>
              <c:strCache>
                <c:ptCount val="1"/>
                <c:pt idx="0">
                  <c:v>Platform GM%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Data'!$B$52:$K$52</c:f>
              <c:numCache>
                <c:formatCode>General</c:formatCode>
                <c:ptCount val="10"/>
                <c:pt idx="0">
                  <c:v>0.77602108036890638</c:v>
                </c:pt>
                <c:pt idx="1">
                  <c:v>0.77882198390743618</c:v>
                </c:pt>
                <c:pt idx="2">
                  <c:v>0.78138569225581245</c:v>
                </c:pt>
                <c:pt idx="3">
                  <c:v>0.78373355926872046</c:v>
                </c:pt>
                <c:pt idx="4">
                  <c:v>0.78588445385900563</c:v>
                </c:pt>
                <c:pt idx="5">
                  <c:v>0.78630236637139828</c:v>
                </c:pt>
                <c:pt idx="6">
                  <c:v>0.78717951389312957</c:v>
                </c:pt>
                <c:pt idx="7">
                  <c:v>0.78749586342756428</c:v>
                </c:pt>
                <c:pt idx="8">
                  <c:v>0.78730224354465073</c:v>
                </c:pt>
                <c:pt idx="9">
                  <c:v>0.78755892116752557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1-7C4F-9611-3BF394F932B1}"/>
            </c:ext>
          </c:extLst>
        </c:ser>
        <c:ser>
          <c:idx val="1"/>
          <c:order val="1"/>
          <c:tx>
            <c:strRef>
              <c:f>'Chart Data'!$A$53</c:f>
              <c:strCache>
                <c:ptCount val="1"/>
                <c:pt idx="0">
                  <c:v>Creator GM%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Data'!$B$53:$K$53</c:f>
              <c:numCache>
                <c:formatCode>General</c:formatCode>
                <c:ptCount val="10"/>
                <c:pt idx="0">
                  <c:v>-97.039215686274517</c:v>
                </c:pt>
                <c:pt idx="1">
                  <c:v>-94.183704549781069</c:v>
                </c:pt>
                <c:pt idx="2">
                  <c:v>-3.5629906716956503</c:v>
                </c:pt>
                <c:pt idx="3">
                  <c:v>-2.0897974032634439</c:v>
                </c:pt>
                <c:pt idx="4">
                  <c:v>-1.3356471844913449</c:v>
                </c:pt>
                <c:pt idx="5">
                  <c:v>-0.8773774795423559</c:v>
                </c:pt>
                <c:pt idx="6">
                  <c:v>-0.56941687770283056</c:v>
                </c:pt>
                <c:pt idx="7">
                  <c:v>-0.34823332476476987</c:v>
                </c:pt>
                <c:pt idx="8">
                  <c:v>-0.18167777205878541</c:v>
                </c:pt>
                <c:pt idx="9">
                  <c:v>5.2110556875104193E-2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1-7C4F-9611-3BF394F932B1}"/>
            </c:ext>
          </c:extLst>
        </c:ser>
        <c:ser>
          <c:idx val="2"/>
          <c:order val="2"/>
          <c:tx>
            <c:strRef>
              <c:f>'Chart Data'!$A$54</c:f>
              <c:strCache>
                <c:ptCount val="1"/>
                <c:pt idx="0">
                  <c:v>Venue GM%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Data'!$B$54:$K$54</c:f>
              <c:numCache>
                <c:formatCode>General</c:formatCode>
                <c:ptCount val="10"/>
                <c:pt idx="0">
                  <c:v>0.77138328354569285</c:v>
                </c:pt>
                <c:pt idx="1">
                  <c:v>0.77144723874743337</c:v>
                </c:pt>
                <c:pt idx="2">
                  <c:v>0.77151307520692214</c:v>
                </c:pt>
                <c:pt idx="3">
                  <c:v>0.77158084711862174</c:v>
                </c:pt>
                <c:pt idx="4">
                  <c:v>0.77165061016934866</c:v>
                </c:pt>
                <c:pt idx="5">
                  <c:v>0.77172242157520088</c:v>
                </c:pt>
                <c:pt idx="6">
                  <c:v>0.77179634011914033</c:v>
                </c:pt>
                <c:pt idx="7">
                  <c:v>0.7718724261892268</c:v>
                </c:pt>
                <c:pt idx="8">
                  <c:v>0.77195074181749423</c:v>
                </c:pt>
                <c:pt idx="9">
                  <c:v>0.77203135071946205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C1-7C4F-9611-3BF394F932B1}"/>
            </c:ext>
          </c:extLst>
        </c:ser>
        <c:ser>
          <c:idx val="3"/>
          <c:order val="3"/>
          <c:tx>
            <c:strRef>
              <c:f>'Chart Data'!$A$55</c:f>
              <c:strCache>
                <c:ptCount val="1"/>
                <c:pt idx="0">
                  <c:v>Corporate GM%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Data'!$B$55:$K$55</c:f>
              <c:numCache>
                <c:formatCode>General</c:formatCode>
                <c:ptCount val="10"/>
                <c:pt idx="0">
                  <c:v>0.48066666666666669</c:v>
                </c:pt>
                <c:pt idx="1">
                  <c:v>0.56318681318681318</c:v>
                </c:pt>
                <c:pt idx="2">
                  <c:v>0.56318681318681318</c:v>
                </c:pt>
                <c:pt idx="3">
                  <c:v>0.56318681318681318</c:v>
                </c:pt>
                <c:pt idx="4">
                  <c:v>0.56318681318681318</c:v>
                </c:pt>
                <c:pt idx="5">
                  <c:v>0.56318681318681318</c:v>
                </c:pt>
                <c:pt idx="6">
                  <c:v>0.56318681318681318</c:v>
                </c:pt>
                <c:pt idx="7">
                  <c:v>0.56318681318681318</c:v>
                </c:pt>
                <c:pt idx="8">
                  <c:v>0.56318681318681318</c:v>
                </c:pt>
                <c:pt idx="9">
                  <c:v>0.56318681318681318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C1-7C4F-9611-3BF394F932B1}"/>
            </c:ext>
          </c:extLst>
        </c:ser>
        <c:ser>
          <c:idx val="4"/>
          <c:order val="4"/>
          <c:tx>
            <c:strRef>
              <c:f>'Chart Data'!$A$56</c:f>
              <c:strCache>
                <c:ptCount val="1"/>
                <c:pt idx="0">
                  <c:v>Blended GM%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'Chart Data'!$B$51:$K$51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Data'!$B$56:$K$56</c:f>
              <c:numCache>
                <c:formatCode>General</c:formatCode>
                <c:ptCount val="10"/>
                <c:pt idx="0">
                  <c:v>0.49649978335865308</c:v>
                </c:pt>
                <c:pt idx="1">
                  <c:v>0.51695192140501622</c:v>
                </c:pt>
                <c:pt idx="2">
                  <c:v>0.53140400386800424</c:v>
                </c:pt>
                <c:pt idx="3">
                  <c:v>0.53951524116999794</c:v>
                </c:pt>
                <c:pt idx="4">
                  <c:v>0.54815337061449176</c:v>
                </c:pt>
                <c:pt idx="5">
                  <c:v>0.55170929909724564</c:v>
                </c:pt>
                <c:pt idx="6">
                  <c:v>0.55609957795886389</c:v>
                </c:pt>
                <c:pt idx="7">
                  <c:v>0.56032547979515201</c:v>
                </c:pt>
                <c:pt idx="8">
                  <c:v>0.56411878440347629</c:v>
                </c:pt>
                <c:pt idx="9">
                  <c:v>0.57362193015801088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C1-7C4F-9611-3BF394F93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656784"/>
        <c:axId val="557658496"/>
      </c:lineChart>
      <c:catAx>
        <c:axId val="55765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58496"/>
        <c:crosses val="autoZero"/>
        <c:auto val="1"/>
        <c:lblAlgn val="ctr"/>
        <c:lblOffset val="100"/>
        <c:noMultiLvlLbl val="0"/>
      </c:catAx>
      <c:valAx>
        <c:axId val="5576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Platform Scale: Active Pros &amp; Bookings (000s)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Data'!$A$60</c:f>
              <c:strCache>
                <c:ptCount val="1"/>
                <c:pt idx="0">
                  <c:v>Active Pros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Data'!$B$59:$K$59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Data'!$B$60:$K$60</c:f>
              <c:numCache>
                <c:formatCode>General</c:formatCode>
                <c:ptCount val="10"/>
                <c:pt idx="0">
                  <c:v>66.149999999999991</c:v>
                </c:pt>
                <c:pt idx="1">
                  <c:v>110.25</c:v>
                </c:pt>
                <c:pt idx="2">
                  <c:v>176.39999999999998</c:v>
                </c:pt>
                <c:pt idx="3">
                  <c:v>220.5</c:v>
                </c:pt>
                <c:pt idx="4">
                  <c:v>286.64999999999998</c:v>
                </c:pt>
                <c:pt idx="5">
                  <c:v>308.7</c:v>
                </c:pt>
                <c:pt idx="6">
                  <c:v>330.75</c:v>
                </c:pt>
                <c:pt idx="7">
                  <c:v>352.79999999999995</c:v>
                </c:pt>
                <c:pt idx="8">
                  <c:v>361.62</c:v>
                </c:pt>
                <c:pt idx="9">
                  <c:v>374.84999999999997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E-4344-BCFD-2DB801EFA84B}"/>
            </c:ext>
          </c:extLst>
        </c:ser>
        <c:ser>
          <c:idx val="1"/>
          <c:order val="1"/>
          <c:tx>
            <c:strRef>
              <c:f>'Chart Data'!$A$61</c:f>
              <c:strCache>
                <c:ptCount val="1"/>
                <c:pt idx="0">
                  <c:v>Annual Bookings (000s)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Data'!$B$59:$K$59</c:f>
              <c:strCache>
                <c:ptCount val="10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</c:v>
                </c:pt>
                <c:pt idx="9">
                  <c:v>Year 10</c:v>
                </c:pt>
              </c:strCache>
            </c:strRef>
          </c:cat>
          <c:val>
            <c:numRef>
              <c:f>'Chart Data'!$B$61:$K$61</c:f>
              <c:numCache>
                <c:formatCode>General</c:formatCode>
                <c:ptCount val="10"/>
                <c:pt idx="0">
                  <c:v>23.284799999999997</c:v>
                </c:pt>
                <c:pt idx="1">
                  <c:v>38.808</c:v>
                </c:pt>
                <c:pt idx="2">
                  <c:v>62.09279999999999</c:v>
                </c:pt>
                <c:pt idx="3">
                  <c:v>77.616</c:v>
                </c:pt>
                <c:pt idx="4">
                  <c:v>100.90079999999999</c:v>
                </c:pt>
                <c:pt idx="5">
                  <c:v>108.66239999999999</c:v>
                </c:pt>
                <c:pt idx="6">
                  <c:v>116.42400000000001</c:v>
                </c:pt>
                <c:pt idx="7">
                  <c:v>124.18559999999998</c:v>
                </c:pt>
                <c:pt idx="8">
                  <c:v>127.29024000000001</c:v>
                </c:pt>
                <c:pt idx="9">
                  <c:v>131.94719999999998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7E-4344-BCFD-2DB801EFA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545711"/>
        <c:axId val="1753700943"/>
      </c:barChart>
      <c:catAx>
        <c:axId val="123254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00943"/>
        <c:crosses val="autoZero"/>
        <c:auto val="1"/>
        <c:lblAlgn val="ctr"/>
        <c:lblOffset val="100"/>
        <c:noMultiLvlLbl val="0"/>
      </c:catAx>
      <c:valAx>
        <c:axId val="17537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4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Mix — Year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Data'!$B$21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'Chart Data'!$A$22:$A$25</c:f>
              <c:strCache>
                <c:ptCount val="4"/>
                <c:pt idx="0">
                  <c:v>Platform</c:v>
                </c:pt>
                <c:pt idx="1">
                  <c:v>Creator</c:v>
                </c:pt>
                <c:pt idx="2">
                  <c:v>Venue</c:v>
                </c:pt>
                <c:pt idx="3">
                  <c:v>Corporate</c:v>
                </c:pt>
              </c:strCache>
            </c:strRef>
          </c:cat>
          <c:val>
            <c:numRef>
              <c:f>'Chart Data'!$B$22:$B$25</c:f>
              <c:numCache>
                <c:formatCode>General</c:formatCode>
                <c:ptCount val="4"/>
                <c:pt idx="0">
                  <c:v>1352494.438289074</c:v>
                </c:pt>
                <c:pt idx="1">
                  <c:v>205510.49113375999</c:v>
                </c:pt>
                <c:pt idx="2">
                  <c:v>525510.49113375996</c:v>
                </c:pt>
                <c:pt idx="3">
                  <c:v>2047500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B-6B4F-B95E-9484EC5F1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Mix — Year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Data'!$E$21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'Chart Data'!$D$22:$D$25</c:f>
              <c:strCache>
                <c:ptCount val="4"/>
                <c:pt idx="0">
                  <c:v>Platform</c:v>
                </c:pt>
                <c:pt idx="1">
                  <c:v>Creator</c:v>
                </c:pt>
                <c:pt idx="2">
                  <c:v>Venue</c:v>
                </c:pt>
                <c:pt idx="3">
                  <c:v>Corporate</c:v>
                </c:pt>
              </c:strCache>
            </c:strRef>
          </c:cat>
          <c:val>
            <c:numRef>
              <c:f>'Chart Data'!$E$22:$E$25</c:f>
              <c:numCache>
                <c:formatCode>General</c:formatCode>
                <c:ptCount val="4"/>
                <c:pt idx="0">
                  <c:v>2066507.0118649029</c:v>
                </c:pt>
                <c:pt idx="1">
                  <c:v>708943.43731123919</c:v>
                </c:pt>
                <c:pt idx="2">
                  <c:v>526388.16950802796</c:v>
                </c:pt>
                <c:pt idx="3">
                  <c:v>3640000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F-B24A-A735-29F6D8869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Risk-Return Profile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Data'!$C$119</c:f>
              <c:strCache>
                <c:ptCount val="1"/>
                <c:pt idx="0">
                  <c:v>Return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'Chart Data'!$B$120:$B$124</c:f>
              <c:numCache>
                <c:formatCode>General</c:formatCode>
                <c:ptCount val="5"/>
                <c:pt idx="0">
                  <c:v>25</c:v>
                </c:pt>
                <c:pt idx="1">
                  <c:v>45</c:v>
                </c:pt>
                <c:pt idx="2">
                  <c:v>40</c:v>
                </c:pt>
                <c:pt idx="3">
                  <c:v>35</c:v>
                </c:pt>
                <c:pt idx="4">
                  <c:v>30</c:v>
                </c:pt>
              </c:numCache>
            </c:numRef>
          </c:xVal>
          <c:yVal>
            <c:numRef>
              <c:f>'Chart Data'!$C$120:$C$124</c:f>
              <c:numCache>
                <c:formatCode>General</c:formatCode>
                <c:ptCount val="5"/>
                <c:pt idx="0">
                  <c:v>85</c:v>
                </c:pt>
                <c:pt idx="1">
                  <c:v>55</c:v>
                </c:pt>
                <c:pt idx="2">
                  <c:v>50</c:v>
                </c:pt>
                <c:pt idx="3">
                  <c:v>70</c:v>
                </c:pt>
                <c:pt idx="4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6-6549-8959-B9FB30478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250656"/>
        <c:axId val="38327264"/>
      </c:scatterChart>
      <c:valAx>
        <c:axId val="76425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27264"/>
        <c:crosses val="autoZero"/>
        <c:crossBetween val="midCat"/>
      </c:valAx>
      <c:valAx>
        <c:axId val="3832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Composition — Year 10 ($6.9M)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'Chart Data'!$E$21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'Chart Data'!$D$22:$D$25</c:f>
              <c:strCache>
                <c:ptCount val="4"/>
                <c:pt idx="0">
                  <c:v>Platform</c:v>
                </c:pt>
                <c:pt idx="1">
                  <c:v>Creator</c:v>
                </c:pt>
                <c:pt idx="2">
                  <c:v>Venue</c:v>
                </c:pt>
                <c:pt idx="3">
                  <c:v>Corporate</c:v>
                </c:pt>
              </c:strCache>
            </c:strRef>
          </c:cat>
          <c:val>
            <c:numRef>
              <c:f>'Chart Data'!$E$22:$E$25</c:f>
              <c:numCache>
                <c:formatCode>General</c:formatCode>
                <c:ptCount val="4"/>
                <c:pt idx="0">
                  <c:v>2066507.0118649029</c:v>
                </c:pt>
                <c:pt idx="1">
                  <c:v>708943.43731123919</c:v>
                </c:pt>
                <c:pt idx="2">
                  <c:v>526388.16950802796</c:v>
                </c:pt>
                <c:pt idx="3">
                  <c:v>3640000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D-B849-875B-9E734D545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11" Type="http://schemas.openxmlformats.org/officeDocument/2006/relationships/chart" Target="../charts/chart51.xml"/><Relationship Id="rId5" Type="http://schemas.openxmlformats.org/officeDocument/2006/relationships/chart" Target="../charts/chart45.xml"/><Relationship Id="rId10" Type="http://schemas.openxmlformats.org/officeDocument/2006/relationships/chart" Target="../charts/chart50.xml"/><Relationship Id="rId4" Type="http://schemas.openxmlformats.org/officeDocument/2006/relationships/chart" Target="../charts/chart44.xml"/><Relationship Id="rId9" Type="http://schemas.openxmlformats.org/officeDocument/2006/relationships/chart" Target="../charts/chart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10</xdr:col>
      <xdr:colOff>63500</xdr:colOff>
      <xdr:row>18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4BAEC9-E7C4-EBB4-C180-E0D77EF42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10</xdr:col>
      <xdr:colOff>63500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E15EE0-2043-2CB9-A5E4-6DE42EA28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10</xdr:col>
      <xdr:colOff>63500</xdr:colOff>
      <xdr:row>44</xdr:row>
      <xdr:rowOff>355600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A1037C-8D85-8FE8-C70A-9DB3959E7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87</xdr:row>
      <xdr:rowOff>0</xdr:rowOff>
    </xdr:from>
    <xdr:to>
      <xdr:col>4</xdr:col>
      <xdr:colOff>190500</xdr:colOff>
      <xdr:row>105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FDF3DE-119E-2751-1B3D-D8393580C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87</xdr:row>
      <xdr:rowOff>0</xdr:rowOff>
    </xdr:from>
    <xdr:to>
      <xdr:col>10</xdr:col>
      <xdr:colOff>889000</xdr:colOff>
      <xdr:row>105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BB342-E3B9-0097-35B4-B17C2A692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99</xdr:row>
      <xdr:rowOff>0</xdr:rowOff>
    </xdr:from>
    <xdr:to>
      <xdr:col>3</xdr:col>
      <xdr:colOff>762000</xdr:colOff>
      <xdr:row>116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699E73-E79B-CEF7-8475-399C4729F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99</xdr:row>
      <xdr:rowOff>0</xdr:rowOff>
    </xdr:from>
    <xdr:to>
      <xdr:col>10</xdr:col>
      <xdr:colOff>889000</xdr:colOff>
      <xdr:row>116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B97F2B-661D-D123-6550-A88DBCAE5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114</xdr:row>
      <xdr:rowOff>0</xdr:rowOff>
    </xdr:from>
    <xdr:to>
      <xdr:col>4</xdr:col>
      <xdr:colOff>190500</xdr:colOff>
      <xdr:row>131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FB3A5C-F8C3-A48D-1D28-97D7DB012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4</xdr:col>
      <xdr:colOff>190500</xdr:colOff>
      <xdr:row>168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2A6B3A-8A8E-788D-6D14-EFFBE0B43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57</xdr:row>
      <xdr:rowOff>0</xdr:rowOff>
    </xdr:from>
    <xdr:to>
      <xdr:col>4</xdr:col>
      <xdr:colOff>190500</xdr:colOff>
      <xdr:row>75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2A673-6137-FBE5-F32C-CBD61BFF1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57</xdr:row>
      <xdr:rowOff>0</xdr:rowOff>
    </xdr:from>
    <xdr:to>
      <xdr:col>10</xdr:col>
      <xdr:colOff>889000</xdr:colOff>
      <xdr:row>75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7027F-B12F-B8A2-B749-EA72135DB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4</xdr:col>
      <xdr:colOff>190500</xdr:colOff>
      <xdr:row>89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BA9240-AC16-07AD-36E2-861AC8EC4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62</xdr:row>
      <xdr:rowOff>0</xdr:rowOff>
    </xdr:from>
    <xdr:to>
      <xdr:col>4</xdr:col>
      <xdr:colOff>190500</xdr:colOff>
      <xdr:row>80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42D96-E7E0-E577-C9D4-5146E9026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10</xdr:col>
      <xdr:colOff>889000</xdr:colOff>
      <xdr:row>80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2BF210-0063-E274-8FEB-2FFB61E57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3</xdr:col>
      <xdr:colOff>762000</xdr:colOff>
      <xdr:row>94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999D1F-8CEE-FE34-05D9-3E0C084C3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77</xdr:row>
      <xdr:rowOff>0</xdr:rowOff>
    </xdr:from>
    <xdr:to>
      <xdr:col>10</xdr:col>
      <xdr:colOff>889000</xdr:colOff>
      <xdr:row>94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A87196-3FEE-A676-9160-DC0D4C626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3</xdr:col>
      <xdr:colOff>762000</xdr:colOff>
      <xdr:row>94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00C3BA-EB91-22DB-BA0A-671560E1F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77</xdr:row>
      <xdr:rowOff>0</xdr:rowOff>
    </xdr:from>
    <xdr:to>
      <xdr:col>10</xdr:col>
      <xdr:colOff>889000</xdr:colOff>
      <xdr:row>94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25D6EF-54A8-1E25-427C-6EA777FB4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77</xdr:row>
      <xdr:rowOff>0</xdr:rowOff>
    </xdr:from>
    <xdr:to>
      <xdr:col>3</xdr:col>
      <xdr:colOff>762000</xdr:colOff>
      <xdr:row>94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477327-B976-49DD-FE10-21FEE6044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77</xdr:row>
      <xdr:rowOff>0</xdr:rowOff>
    </xdr:from>
    <xdr:to>
      <xdr:col>10</xdr:col>
      <xdr:colOff>889000</xdr:colOff>
      <xdr:row>94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1AE1A3-5118-502B-28B3-CB80FA8EFA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120</xdr:row>
      <xdr:rowOff>0</xdr:rowOff>
    </xdr:from>
    <xdr:to>
      <xdr:col>4</xdr:col>
      <xdr:colOff>190500</xdr:colOff>
      <xdr:row>137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479AE94-DF5D-69D1-FBBF-C626A3404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0</xdr:colOff>
      <xdr:row>120</xdr:row>
      <xdr:rowOff>0</xdr:rowOff>
    </xdr:from>
    <xdr:to>
      <xdr:col>10</xdr:col>
      <xdr:colOff>889000</xdr:colOff>
      <xdr:row>137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B00D418-1C17-8306-7F42-9CC8ED754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51</xdr:row>
      <xdr:rowOff>0</xdr:rowOff>
    </xdr:from>
    <xdr:to>
      <xdr:col>4</xdr:col>
      <xdr:colOff>190500</xdr:colOff>
      <xdr:row>69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E1EC3-37BE-CBB6-0F63-9B5C6FB25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51</xdr:row>
      <xdr:rowOff>0</xdr:rowOff>
    </xdr:from>
    <xdr:to>
      <xdr:col>10</xdr:col>
      <xdr:colOff>889000</xdr:colOff>
      <xdr:row>69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13553C-4302-AD6A-C0C7-E5748F859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</xdr:row>
      <xdr:rowOff>0</xdr:rowOff>
    </xdr:from>
    <xdr:to>
      <xdr:col>3</xdr:col>
      <xdr:colOff>635000</xdr:colOff>
      <xdr:row>60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DB34A-5269-91F1-E6CB-673039874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45</xdr:row>
      <xdr:rowOff>0</xdr:rowOff>
    </xdr:from>
    <xdr:to>
      <xdr:col>10</xdr:col>
      <xdr:colOff>254000</xdr:colOff>
      <xdr:row>60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EC7975-B4BC-E38C-90E5-F57FC0771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57</xdr:row>
      <xdr:rowOff>0</xdr:rowOff>
    </xdr:from>
    <xdr:to>
      <xdr:col>3</xdr:col>
      <xdr:colOff>635000</xdr:colOff>
      <xdr:row>72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B06B63-A02B-3E65-062F-9D2339E6C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57</xdr:row>
      <xdr:rowOff>0</xdr:rowOff>
    </xdr:from>
    <xdr:to>
      <xdr:col>10</xdr:col>
      <xdr:colOff>254000</xdr:colOff>
      <xdr:row>72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E4641C-2465-5061-732E-FB33C2B58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37</xdr:row>
      <xdr:rowOff>0</xdr:rowOff>
    </xdr:from>
    <xdr:to>
      <xdr:col>8</xdr:col>
      <xdr:colOff>254000</xdr:colOff>
      <xdr:row>53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CC4DC-A096-ED4F-D118-D0CE99F4B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8</xdr:col>
      <xdr:colOff>254000</xdr:colOff>
      <xdr:row>31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0A471-7C69-5DB4-8B1B-3DC03C292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54</xdr:row>
      <xdr:rowOff>0</xdr:rowOff>
    </xdr:from>
    <xdr:to>
      <xdr:col>6</xdr:col>
      <xdr:colOff>2032000</xdr:colOff>
      <xdr:row>69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907900-A9B9-F326-655C-9A4045D27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40</xdr:row>
      <xdr:rowOff>0</xdr:rowOff>
    </xdr:from>
    <xdr:to>
      <xdr:col>6</xdr:col>
      <xdr:colOff>825500</xdr:colOff>
      <xdr:row>53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55CCD-204C-58C7-FA1B-52961872F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54</xdr:row>
      <xdr:rowOff>0</xdr:rowOff>
    </xdr:from>
    <xdr:to>
      <xdr:col>7</xdr:col>
      <xdr:colOff>254000</xdr:colOff>
      <xdr:row>69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E6308F-DA55-DA95-B2EB-2D7186A47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67</xdr:row>
      <xdr:rowOff>0</xdr:rowOff>
    </xdr:from>
    <xdr:to>
      <xdr:col>7</xdr:col>
      <xdr:colOff>254000</xdr:colOff>
      <xdr:row>80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5B23AD-7E25-73B5-EF86-62639DE14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2</xdr:col>
      <xdr:colOff>1397000</xdr:colOff>
      <xdr:row>52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E85517-A941-7E98-FC6F-4C5C3A285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2</xdr:col>
      <xdr:colOff>1397000</xdr:colOff>
      <xdr:row>64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AD998A-53A6-BA68-AFE5-34226EBE0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2</xdr:col>
      <xdr:colOff>1397000</xdr:colOff>
      <xdr:row>78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2B7246-044E-293F-0D8C-3BD748DFC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5</xdr:col>
      <xdr:colOff>889000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DDCC2-AEE3-BE48-864E-9AFACBEF5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5</xdr:col>
      <xdr:colOff>889000</xdr:colOff>
      <xdr:row>34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E2FCA-F4E1-F347-FEFC-76B980104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0</xdr:colOff>
      <xdr:row>82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E18B8-6734-85CA-364C-7B0F87E15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0</xdr:rowOff>
    </xdr:from>
    <xdr:to>
      <xdr:col>4</xdr:col>
      <xdr:colOff>190500</xdr:colOff>
      <xdr:row>64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EF8CA4-9216-334B-CEDB-5E2169C92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47</xdr:row>
      <xdr:rowOff>0</xdr:rowOff>
    </xdr:from>
    <xdr:to>
      <xdr:col>11</xdr:col>
      <xdr:colOff>63500</xdr:colOff>
      <xdr:row>64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2EFE93-BA0C-F118-AC4D-F464D432D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63</xdr:row>
      <xdr:rowOff>0</xdr:rowOff>
    </xdr:from>
    <xdr:to>
      <xdr:col>4</xdr:col>
      <xdr:colOff>190500</xdr:colOff>
      <xdr:row>80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D95B47-9DC8-44AF-D299-E2135D5BA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63</xdr:row>
      <xdr:rowOff>0</xdr:rowOff>
    </xdr:from>
    <xdr:to>
      <xdr:col>11</xdr:col>
      <xdr:colOff>63500</xdr:colOff>
      <xdr:row>80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1EFEC4-7AEB-8234-2CB2-F38182F66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79</xdr:row>
      <xdr:rowOff>0</xdr:rowOff>
    </xdr:from>
    <xdr:to>
      <xdr:col>4</xdr:col>
      <xdr:colOff>190500</xdr:colOff>
      <xdr:row>96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EE7AF0-E10B-6F7F-6CC7-A9A3A1BE3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79</xdr:row>
      <xdr:rowOff>0</xdr:rowOff>
    </xdr:from>
    <xdr:to>
      <xdr:col>11</xdr:col>
      <xdr:colOff>63500</xdr:colOff>
      <xdr:row>96</xdr:row>
      <xdr:rowOff>101600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92DA0A-2556-5534-F0B1-9F8C6204E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95</xdr:row>
      <xdr:rowOff>0</xdr:rowOff>
    </xdr:from>
    <xdr:to>
      <xdr:col>4</xdr:col>
      <xdr:colOff>190500</xdr:colOff>
      <xdr:row>112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95E1B1C-2B84-8FCA-B557-3CE23F0C9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95</xdr:row>
      <xdr:rowOff>0</xdr:rowOff>
    </xdr:from>
    <xdr:to>
      <xdr:col>8</xdr:col>
      <xdr:colOff>508000</xdr:colOff>
      <xdr:row>112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E0ABEA-A4A9-4352-241D-91F8616DD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95</xdr:row>
      <xdr:rowOff>0</xdr:rowOff>
    </xdr:from>
    <xdr:to>
      <xdr:col>11</xdr:col>
      <xdr:colOff>508000</xdr:colOff>
      <xdr:row>112</xdr:row>
      <xdr:rowOff>101600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64D3D52-78AA-0AE6-29BC-063320E2F6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111</xdr:row>
      <xdr:rowOff>0</xdr:rowOff>
    </xdr:from>
    <xdr:to>
      <xdr:col>3</xdr:col>
      <xdr:colOff>1143000</xdr:colOff>
      <xdr:row>129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3E0C029-4EE3-67DB-518E-D2EEEABA5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0</xdr:colOff>
      <xdr:row>111</xdr:row>
      <xdr:rowOff>0</xdr:rowOff>
    </xdr:from>
    <xdr:to>
      <xdr:col>11</xdr:col>
      <xdr:colOff>63500</xdr:colOff>
      <xdr:row>129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9BA6902-A10D-5B4F-02F3-65C627C55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6A2CDB-F0D5-2649-8367-5E1D480A1B5F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3AF6-B503-E949-9CC2-13DF631E46BE}">
  <sheetPr>
    <tabColor rgb="FF1F3864"/>
  </sheetPr>
  <dimension ref="A1:K49"/>
  <sheetViews>
    <sheetView tabSelected="1" topLeftCell="A3" workbookViewId="0">
      <selection sqref="A1:K1"/>
    </sheetView>
  </sheetViews>
  <sheetFormatPr baseColWidth="10" defaultRowHeight="16" x14ac:dyDescent="0.2"/>
  <cols>
    <col min="1" max="1" width="41.6640625" customWidth="1"/>
    <col min="2" max="11" width="15.83203125" customWidth="1"/>
  </cols>
  <sheetData>
    <row r="1" spans="1:11" ht="35" customHeight="1" x14ac:dyDescent="0.35">
      <c r="A1" s="122" t="s">
        <v>763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35" customHeight="1" x14ac:dyDescent="0.2">
      <c r="A2" s="123" t="s">
        <v>764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5" customHeight="1" x14ac:dyDescent="0.2">
      <c r="A3" s="124" t="s">
        <v>765</v>
      </c>
      <c r="B3" s="4"/>
      <c r="C3" s="4"/>
      <c r="D3" s="4"/>
      <c r="E3" s="4"/>
      <c r="F3" s="4"/>
      <c r="G3" s="4"/>
      <c r="H3" s="4"/>
      <c r="I3" s="4"/>
      <c r="J3" s="4"/>
      <c r="K3" s="4"/>
    </row>
    <row r="5" spans="1:11" x14ac:dyDescent="0.2">
      <c r="A5" s="48" t="s">
        <v>766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2">
      <c r="A6" s="35"/>
      <c r="B6" s="125" t="s">
        <v>259</v>
      </c>
      <c r="C6" s="125" t="s">
        <v>260</v>
      </c>
      <c r="D6" s="125" t="s">
        <v>261</v>
      </c>
      <c r="E6" s="125" t="s">
        <v>262</v>
      </c>
      <c r="F6" s="125" t="s">
        <v>263</v>
      </c>
      <c r="G6" s="125" t="s">
        <v>264</v>
      </c>
      <c r="H6" s="125" t="s">
        <v>265</v>
      </c>
      <c r="I6" s="125" t="s">
        <v>266</v>
      </c>
      <c r="J6" s="125" t="s">
        <v>267</v>
      </c>
      <c r="K6" s="125" t="s">
        <v>268</v>
      </c>
    </row>
    <row r="7" spans="1:11" x14ac:dyDescent="0.2">
      <c r="A7" s="133" t="s">
        <v>420</v>
      </c>
      <c r="B7" s="139">
        <f>'Revenue Build'!B20</f>
        <v>265097.44799999992</v>
      </c>
      <c r="C7" s="139">
        <f>'Revenue Build'!C20</f>
        <v>460846.94040000002</v>
      </c>
      <c r="D7" s="139">
        <f>'Revenue Build'!D20</f>
        <v>768382.19377919985</v>
      </c>
      <c r="E7" s="139">
        <f>'Revenue Build'!E20</f>
        <v>1000032.1884907201</v>
      </c>
      <c r="F7" s="139">
        <f>'Revenue Build'!F20</f>
        <v>1352494.438289074</v>
      </c>
      <c r="G7" s="139">
        <f>'Revenue Build'!G20</f>
        <v>1503162.3309637271</v>
      </c>
      <c r="H7" s="139">
        <f>'Revenue Build'!H20</f>
        <v>1665684.0003563988</v>
      </c>
      <c r="I7" s="139">
        <f>'Revenue Build'!I20</f>
        <v>1832755.8099915632</v>
      </c>
      <c r="J7" s="139">
        <f>'Revenue Build'!J20</f>
        <v>1933170.5677025933</v>
      </c>
      <c r="K7" s="139">
        <f>'Revenue Build'!K20</f>
        <v>2066507.0118649029</v>
      </c>
    </row>
    <row r="8" spans="1:11" x14ac:dyDescent="0.2">
      <c r="A8" s="133" t="s">
        <v>421</v>
      </c>
      <c r="B8" s="139">
        <f>'Revenue Build'!B38</f>
        <v>979.19999999999993</v>
      </c>
      <c r="C8" s="139">
        <f>'Revenue Build'!C38</f>
        <v>1815.4368000000002</v>
      </c>
      <c r="D8" s="139">
        <f>'Revenue Build'!D38</f>
        <v>63116.499839999997</v>
      </c>
      <c r="E8" s="139">
        <f>'Revenue Build'!E38</f>
        <v>118065.99345792001</v>
      </c>
      <c r="F8" s="139">
        <f>'Revenue Build'!F38</f>
        <v>205510.49113375999</v>
      </c>
      <c r="G8" s="139">
        <f>'Revenue Build'!G38</f>
        <v>281243.38645455008</v>
      </c>
      <c r="H8" s="139">
        <f>'Revenue Build'!H38</f>
        <v>367015.2960525672</v>
      </c>
      <c r="I8" s="139">
        <f>'Revenue Build'!I38</f>
        <v>462827.9011786562</v>
      </c>
      <c r="J8" s="139">
        <f>'Revenue Build'!J38</f>
        <v>552434.86459312437</v>
      </c>
      <c r="K8" s="139">
        <f>'Revenue Build'!K38</f>
        <v>708943.43731123919</v>
      </c>
    </row>
    <row r="9" spans="1:11" x14ac:dyDescent="0.2">
      <c r="A9" s="133" t="s">
        <v>422</v>
      </c>
      <c r="B9" s="139">
        <f>'Revenue Build'!B56</f>
        <v>131224</v>
      </c>
      <c r="C9" s="139">
        <f>'Revenue Build'!C56</f>
        <v>196891.08000000002</v>
      </c>
      <c r="D9" s="139">
        <f>'Revenue Build'!D56</f>
        <v>328246.35399999999</v>
      </c>
      <c r="E9" s="139">
        <f>'Revenue Build'!E56</f>
        <v>394012.49354399997</v>
      </c>
      <c r="F9" s="139">
        <f>'Revenue Build'!F56</f>
        <v>525510.49113375996</v>
      </c>
      <c r="G9" s="139">
        <f>'Revenue Build'!G56</f>
        <v>525675.80586777278</v>
      </c>
      <c r="H9" s="139">
        <f>'Revenue Build'!H56</f>
        <v>525846.080043806</v>
      </c>
      <c r="I9" s="139">
        <f>'Revenue Build'!I56</f>
        <v>526021.46244512009</v>
      </c>
      <c r="J9" s="139">
        <f>'Revenue Build'!J56</f>
        <v>526202.10631847382</v>
      </c>
      <c r="K9" s="139">
        <f>'Revenue Build'!K56</f>
        <v>526388.16950802796</v>
      </c>
    </row>
    <row r="10" spans="1:11" x14ac:dyDescent="0.2">
      <c r="A10" s="133" t="s">
        <v>423</v>
      </c>
      <c r="B10" s="139">
        <f>'Revenue Build'!B71</f>
        <v>187500</v>
      </c>
      <c r="C10" s="139">
        <f>'Revenue Build'!C71</f>
        <v>546000</v>
      </c>
      <c r="D10" s="139">
        <f>'Revenue Build'!D71</f>
        <v>910000</v>
      </c>
      <c r="E10" s="139">
        <f>'Revenue Build'!E71</f>
        <v>1365000</v>
      </c>
      <c r="F10" s="139">
        <f>'Revenue Build'!F71</f>
        <v>2047500</v>
      </c>
      <c r="G10" s="139">
        <f>'Revenue Build'!G71</f>
        <v>2366000</v>
      </c>
      <c r="H10" s="139">
        <f>'Revenue Build'!H71</f>
        <v>2639000</v>
      </c>
      <c r="I10" s="139">
        <f>'Revenue Build'!I71</f>
        <v>2957500</v>
      </c>
      <c r="J10" s="139">
        <f>'Revenue Build'!J71</f>
        <v>3276000</v>
      </c>
      <c r="K10" s="139">
        <f>'Revenue Build'!K71</f>
        <v>3640000</v>
      </c>
    </row>
    <row r="11" spans="1:11" ht="17" thickBot="1" x14ac:dyDescent="0.25">
      <c r="A11" s="134" t="s">
        <v>330</v>
      </c>
      <c r="B11" s="140">
        <f>'Revenue Build'!B78</f>
        <v>584800.64799999993</v>
      </c>
      <c r="C11" s="140">
        <f>'Revenue Build'!C78</f>
        <v>1205553.4572000001</v>
      </c>
      <c r="D11" s="140">
        <f>'Revenue Build'!D78</f>
        <v>2069745.0476191998</v>
      </c>
      <c r="E11" s="140">
        <f>'Revenue Build'!E78</f>
        <v>2877110.6754926401</v>
      </c>
      <c r="F11" s="140">
        <f>'Revenue Build'!F78</f>
        <v>4131015.4205565937</v>
      </c>
      <c r="G11" s="140">
        <f>'Revenue Build'!G78</f>
        <v>4676081.5232860502</v>
      </c>
      <c r="H11" s="140">
        <f>'Revenue Build'!H78</f>
        <v>5197545.3764527719</v>
      </c>
      <c r="I11" s="140">
        <f>'Revenue Build'!I78</f>
        <v>5779105.1736153392</v>
      </c>
      <c r="J11" s="140">
        <f>'Revenue Build'!J78</f>
        <v>6287807.5386141911</v>
      </c>
      <c r="K11" s="140">
        <f>'Revenue Build'!K78</f>
        <v>6941838.6186841698</v>
      </c>
    </row>
    <row r="12" spans="1:11" ht="17" thickTop="1" x14ac:dyDescent="0.2">
      <c r="A12" s="133"/>
      <c r="B12" s="141"/>
      <c r="C12" s="141"/>
      <c r="D12" s="141"/>
      <c r="E12" s="141"/>
      <c r="F12" s="141"/>
      <c r="G12" s="141"/>
      <c r="H12" s="141"/>
      <c r="I12" s="141"/>
      <c r="J12" s="141"/>
      <c r="K12" s="141"/>
    </row>
    <row r="13" spans="1:11" x14ac:dyDescent="0.2">
      <c r="A13" s="135" t="s">
        <v>406</v>
      </c>
      <c r="B13" s="142">
        <f>'Margin Analysis'!B47</f>
        <v>-715646.60496000014</v>
      </c>
      <c r="C13" s="142">
        <f>'Margin Analysis'!C47</f>
        <v>-651336.82394399995</v>
      </c>
      <c r="D13" s="142">
        <f>'Margin Analysis'!D47</f>
        <v>-219866.69470918411</v>
      </c>
      <c r="E13" s="142">
        <f>'Margin Analysis'!E47</f>
        <v>-5610.3400388127193</v>
      </c>
      <c r="F13" s="142">
        <f>'Margin Analysis'!F47</f>
        <v>652175.48733853921</v>
      </c>
      <c r="G13" s="142">
        <f>'Margin Analysis'!G47</f>
        <v>911168.83267372777</v>
      </c>
      <c r="H13" s="142">
        <f>'Margin Analysis'!H47</f>
        <v>954215.76255930611</v>
      </c>
      <c r="I13" s="142">
        <f>'Margin Analysis'!I47</f>
        <v>1235087.3075123539</v>
      </c>
      <c r="J13" s="142">
        <f>'Margin Analysis'!J47</f>
        <v>1252885.2273745197</v>
      </c>
      <c r="K13" s="142">
        <f>'Margin Analysis'!K47</f>
        <v>1609199.4408494718</v>
      </c>
    </row>
    <row r="14" spans="1:11" x14ac:dyDescent="0.2">
      <c r="A14" s="136" t="s">
        <v>432</v>
      </c>
      <c r="B14" s="143">
        <f>'Margin Analysis'!B48</f>
        <v>-1.2237445485183529</v>
      </c>
      <c r="C14" s="143">
        <f>'Margin Analysis'!C48</f>
        <v>-0.54028033352978377</v>
      </c>
      <c r="D14" s="143">
        <f>'Margin Analysis'!D48</f>
        <v>-0.10622887826792669</v>
      </c>
      <c r="E14" s="143">
        <f>'Margin Analysis'!E48</f>
        <v>-1.9499910401785552E-3</v>
      </c>
      <c r="F14" s="143">
        <f>'Margin Analysis'!F48</f>
        <v>0.1578729249213667</v>
      </c>
      <c r="G14" s="143">
        <f>'Margin Analysis'!G48</f>
        <v>0.19485734543682992</v>
      </c>
      <c r="H14" s="143">
        <f>'Margin Analysis'!H48</f>
        <v>0.1835896934892256</v>
      </c>
      <c r="I14" s="143">
        <f>'Margin Analysis'!I48</f>
        <v>0.21371601145990185</v>
      </c>
      <c r="J14" s="143">
        <f>'Margin Analysis'!J48</f>
        <v>0.19925629397534816</v>
      </c>
      <c r="K14" s="143">
        <f>'Margin Analysis'!K48</f>
        <v>0.23181170425343259</v>
      </c>
    </row>
    <row r="15" spans="1:11" x14ac:dyDescent="0.2">
      <c r="A15" s="137" t="s">
        <v>584</v>
      </c>
      <c r="B15" s="144">
        <f>'Margin Analysis'!B59</f>
        <v>-791670.68920000014</v>
      </c>
      <c r="C15" s="144">
        <f>'Margin Analysis'!C59</f>
        <v>-761274.72154000006</v>
      </c>
      <c r="D15" s="144">
        <f>'Margin Analysis'!D59</f>
        <v>-392489.27432368009</v>
      </c>
      <c r="E15" s="144">
        <f>'Margin Analysis'!E59</f>
        <v>-214055.12404331996</v>
      </c>
      <c r="F15" s="144">
        <f>'Margin Analysis'!F59</f>
        <v>213251.08052513297</v>
      </c>
      <c r="G15" s="144">
        <f>'Margin Analysis'!G59</f>
        <v>441037.87154728209</v>
      </c>
      <c r="H15" s="144">
        <f>'Margin Analysis'!H59</f>
        <v>453049.03516689909</v>
      </c>
      <c r="I15" s="144">
        <f>'Margin Analysis'!I59</f>
        <v>634178.72698260809</v>
      </c>
      <c r="J15" s="144">
        <f>'Margin Analysis'!J59</f>
        <v>631735.91093987843</v>
      </c>
      <c r="K15" s="144">
        <f>'Margin Analysis'!K59</f>
        <v>859548.95293742849</v>
      </c>
    </row>
    <row r="16" spans="1:11" x14ac:dyDescent="0.2">
      <c r="A16" s="138" t="s">
        <v>445</v>
      </c>
      <c r="B16" s="145">
        <f>'Margin Analysis'!B60</f>
        <v>-1.353744548518353</v>
      </c>
      <c r="C16" s="145">
        <f>'Margin Analysis'!C60</f>
        <v>-0.63147321837401138</v>
      </c>
      <c r="D16" s="145">
        <f>'Margin Analysis'!D60</f>
        <v>-0.18963170114848457</v>
      </c>
      <c r="E16" s="145">
        <f>'Margin Analysis'!E60</f>
        <v>-7.4399336065397573E-2</v>
      </c>
      <c r="F16" s="145">
        <f>'Margin Analysis'!F60</f>
        <v>5.1621952187339094E-2</v>
      </c>
      <c r="G16" s="145">
        <f>'Margin Analysis'!G60</f>
        <v>9.4317832003354155E-2</v>
      </c>
      <c r="H16" s="145">
        <f>'Margin Analysis'!H60</f>
        <v>8.7165960535797504E-2</v>
      </c>
      <c r="I16" s="145">
        <f>'Margin Analysis'!I60</f>
        <v>0.10973649171120266</v>
      </c>
      <c r="J16" s="145">
        <f>'Margin Analysis'!J60</f>
        <v>0.10046998211384674</v>
      </c>
      <c r="K16" s="145">
        <f>'Margin Analysis'!K60</f>
        <v>0.12382151187207469</v>
      </c>
    </row>
    <row r="18" spans="1:11" x14ac:dyDescent="0.2">
      <c r="A18" s="48" t="s">
        <v>767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">
      <c r="A19" s="5" t="s">
        <v>768</v>
      </c>
      <c r="B19" s="18">
        <f>'DCF Valuation'!B43</f>
        <v>1245555.5095677129</v>
      </c>
    </row>
    <row r="20" spans="1:11" x14ac:dyDescent="0.2">
      <c r="A20" s="5" t="s">
        <v>769</v>
      </c>
      <c r="B20" s="18">
        <f>'DCF Valuation'!B44</f>
        <v>4195111.2668596199</v>
      </c>
    </row>
    <row r="21" spans="1:11" x14ac:dyDescent="0.2">
      <c r="A21" s="56" t="s">
        <v>770</v>
      </c>
      <c r="B21" s="128">
        <f>'DCF Valuation'!B45</f>
        <v>2720333.3882136662</v>
      </c>
    </row>
    <row r="22" spans="1:11" x14ac:dyDescent="0.2">
      <c r="A22" s="126" t="s">
        <v>759</v>
      </c>
      <c r="B22" s="129">
        <f>'LBO Analysis'!B53</f>
        <v>5.2400756446301031</v>
      </c>
    </row>
    <row r="23" spans="1:11" x14ac:dyDescent="0.2">
      <c r="A23" s="126" t="s">
        <v>771</v>
      </c>
      <c r="B23" s="130">
        <f>'LBO Analysis'!B54</f>
        <v>0.39273186223260637</v>
      </c>
    </row>
    <row r="24" spans="1:11" x14ac:dyDescent="0.2">
      <c r="A24" s="5" t="s">
        <v>519</v>
      </c>
      <c r="B24" s="40">
        <f>'DCF Valuation'!B51</f>
        <v>4.1711677930660436</v>
      </c>
    </row>
    <row r="25" spans="1:11" x14ac:dyDescent="0.2">
      <c r="A25" s="5" t="s">
        <v>520</v>
      </c>
      <c r="B25" s="40">
        <f>'DCF Valuation'!B52</f>
        <v>1.6904886486771606</v>
      </c>
    </row>
    <row r="27" spans="1:11" x14ac:dyDescent="0.2">
      <c r="A27" s="48" t="s">
        <v>772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">
      <c r="A28" s="5" t="s">
        <v>773</v>
      </c>
      <c r="B28" s="17">
        <f>'Revenue Build'!F9</f>
        <v>286.64999999999998</v>
      </c>
    </row>
    <row r="29" spans="1:11" x14ac:dyDescent="0.2">
      <c r="A29" s="5" t="s">
        <v>742</v>
      </c>
      <c r="B29" s="17">
        <f>'Revenue Build'!F12</f>
        <v>100900.79999999999</v>
      </c>
    </row>
    <row r="30" spans="1:11" x14ac:dyDescent="0.2">
      <c r="A30" s="5" t="s">
        <v>774</v>
      </c>
      <c r="B30" s="18">
        <f>'Revenue Build'!F14</f>
        <v>9653002.8435640801</v>
      </c>
    </row>
    <row r="31" spans="1:11" x14ac:dyDescent="0.2">
      <c r="A31" s="5" t="s">
        <v>284</v>
      </c>
      <c r="B31" s="17">
        <f>'Revenue Build'!F23</f>
        <v>50</v>
      </c>
    </row>
    <row r="32" spans="1:11" x14ac:dyDescent="0.2">
      <c r="A32" s="5" t="s">
        <v>299</v>
      </c>
      <c r="B32" s="17">
        <f>'Revenue Build'!F41</f>
        <v>8</v>
      </c>
    </row>
    <row r="33" spans="1:11" x14ac:dyDescent="0.2">
      <c r="A33" s="5" t="s">
        <v>314</v>
      </c>
      <c r="B33" s="17">
        <f>'Revenue Build'!F59</f>
        <v>45</v>
      </c>
    </row>
    <row r="34" spans="1:11" x14ac:dyDescent="0.2">
      <c r="A34" s="5" t="s">
        <v>775</v>
      </c>
      <c r="B34" s="40">
        <f>'Unit Economics'!F14</f>
        <v>10.72335948408</v>
      </c>
    </row>
    <row r="35" spans="1:11" x14ac:dyDescent="0.2">
      <c r="A35" s="5" t="s">
        <v>756</v>
      </c>
      <c r="B35" s="40">
        <f>'Unit Economics'!F43</f>
        <v>91.000000000000014</v>
      </c>
    </row>
    <row r="37" spans="1:11" x14ac:dyDescent="0.2">
      <c r="A37" s="48" t="s">
        <v>776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">
      <c r="A38" s="35"/>
      <c r="B38" s="35" t="s">
        <v>777</v>
      </c>
      <c r="C38" s="35" t="s">
        <v>778</v>
      </c>
      <c r="D38" s="35" t="s">
        <v>779</v>
      </c>
      <c r="E38" s="35" t="s">
        <v>780</v>
      </c>
    </row>
    <row r="39" spans="1:11" x14ac:dyDescent="0.2">
      <c r="A39" s="5" t="s">
        <v>586</v>
      </c>
      <c r="B39" s="52">
        <f>'Scenario Analysis'!B34</f>
        <v>652175.48733853921</v>
      </c>
      <c r="C39" s="52">
        <f>'Scenario Analysis'!C34</f>
        <v>1619358.0448581846</v>
      </c>
      <c r="D39" s="52">
        <f>'Scenario Analysis'!D34</f>
        <v>123930.46261669783</v>
      </c>
      <c r="E39" s="52">
        <f>'Scenario Analysis'!E34</f>
        <v>-144585.53971948076</v>
      </c>
    </row>
    <row r="40" spans="1:11" x14ac:dyDescent="0.2">
      <c r="A40" s="21" t="s">
        <v>781</v>
      </c>
      <c r="B40" s="55">
        <f>'Scenario Analysis'!B35</f>
        <v>7826105.8480624706</v>
      </c>
      <c r="C40" s="55">
        <f>'Scenario Analysis'!C35</f>
        <v>22671012.628014587</v>
      </c>
      <c r="D40" s="55">
        <f>'Scenario Analysis'!D35</f>
        <v>991443.70093358262</v>
      </c>
      <c r="E40" s="55">
        <f>'Scenario Analysis'!E35</f>
        <v>0</v>
      </c>
    </row>
    <row r="41" spans="1:11" x14ac:dyDescent="0.2">
      <c r="A41" s="5" t="s">
        <v>782</v>
      </c>
      <c r="B41" s="74">
        <f>'Scenario Analysis'!B37</f>
        <v>0.28000000000000003</v>
      </c>
      <c r="C41" s="74">
        <f>'Scenario Analysis'!C37</f>
        <v>0.42</v>
      </c>
      <c r="D41" s="74">
        <f>'Scenario Analysis'!D37</f>
        <v>0.05</v>
      </c>
      <c r="E41" s="74">
        <f>'Scenario Analysis'!E37</f>
        <v>-0.15</v>
      </c>
    </row>
    <row r="43" spans="1:11" x14ac:dyDescent="0.2">
      <c r="A43" s="48" t="s">
        <v>783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40" customHeight="1" x14ac:dyDescent="0.2">
      <c r="A44" s="131" t="s">
        <v>784</v>
      </c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40" customHeight="1" x14ac:dyDescent="0.2">
      <c r="A45" s="131" t="s">
        <v>785</v>
      </c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40" customHeight="1" x14ac:dyDescent="0.2">
      <c r="A46" s="131" t="s">
        <v>786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40" customHeight="1" x14ac:dyDescent="0.2">
      <c r="A47" s="132" t="s">
        <v>787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</row>
    <row r="48" spans="1:11" ht="40" customHeight="1" x14ac:dyDescent="0.2">
      <c r="A48" s="132" t="s">
        <v>788</v>
      </c>
      <c r="B48" s="132"/>
      <c r="C48" s="132"/>
      <c r="D48" s="132"/>
      <c r="E48" s="132"/>
      <c r="F48" s="132"/>
      <c r="G48" s="132"/>
      <c r="H48" s="132"/>
      <c r="I48" s="132"/>
      <c r="J48" s="132"/>
      <c r="K48" s="132"/>
    </row>
    <row r="49" spans="1:11" ht="40" customHeight="1" x14ac:dyDescent="0.2">
      <c r="A49" s="132" t="s">
        <v>789</v>
      </c>
      <c r="B49" s="132"/>
      <c r="C49" s="132"/>
      <c r="D49" s="132"/>
      <c r="E49" s="132"/>
      <c r="F49" s="132"/>
      <c r="G49" s="132"/>
      <c r="H49" s="132"/>
      <c r="I49" s="132"/>
      <c r="J49" s="132"/>
      <c r="K49" s="132"/>
    </row>
  </sheetData>
  <mergeCells count="14">
    <mergeCell ref="A48:K48"/>
    <mergeCell ref="A49:K49"/>
    <mergeCell ref="A37:K37"/>
    <mergeCell ref="A43:K43"/>
    <mergeCell ref="A44:K44"/>
    <mergeCell ref="A45:K45"/>
    <mergeCell ref="A46:K46"/>
    <mergeCell ref="A47:K47"/>
    <mergeCell ref="A1:K1"/>
    <mergeCell ref="A2:K2"/>
    <mergeCell ref="A3:K3"/>
    <mergeCell ref="A5:K5"/>
    <mergeCell ref="A18:K18"/>
    <mergeCell ref="A27:K27"/>
  </mergeCells>
  <conditionalFormatting sqref="B11:K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{FCE889DD-3EC8-1245-B68E-B91D8E99C1F0}</x14:id>
        </ext>
      </extLst>
    </cfRule>
  </conditionalFormatting>
  <conditionalFormatting sqref="B13:K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K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889DD-3EC8-1245-B68E-B91D8E99C1F0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B11:K11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8C4F-F4AB-BD4A-B96D-239F87FC7290}">
  <sheetPr>
    <tabColor rgb="FF0000FF"/>
  </sheetPr>
  <dimension ref="A1:D176"/>
  <sheetViews>
    <sheetView workbookViewId="0">
      <pane ySplit="2" topLeftCell="A3" activePane="bottomLeft" state="frozen"/>
      <selection pane="bottomLeft" sqref="A1:K1"/>
    </sheetView>
  </sheetViews>
  <sheetFormatPr baseColWidth="10" defaultRowHeight="16" x14ac:dyDescent="0.2"/>
  <cols>
    <col min="1" max="1" width="46.6640625" customWidth="1"/>
    <col min="2" max="2" width="16.6640625" customWidth="1"/>
    <col min="3" max="3" width="13.33203125" customWidth="1"/>
    <col min="4" max="4" width="46.6640625" customWidth="1"/>
  </cols>
  <sheetData>
    <row r="1" spans="1:4" ht="19" x14ac:dyDescent="0.25">
      <c r="A1" s="1" t="s">
        <v>0</v>
      </c>
      <c r="B1" s="1"/>
      <c r="C1" s="1"/>
      <c r="D1" s="1"/>
    </row>
    <row r="3" spans="1:4" x14ac:dyDescent="0.2">
      <c r="A3" s="3" t="s">
        <v>1</v>
      </c>
      <c r="B3" s="4"/>
      <c r="C3" s="4"/>
      <c r="D3" s="4"/>
    </row>
    <row r="4" spans="1:4" x14ac:dyDescent="0.2">
      <c r="A4" s="7" t="s">
        <v>2</v>
      </c>
      <c r="B4" s="7" t="s">
        <v>3</v>
      </c>
      <c r="C4" s="7" t="s">
        <v>4</v>
      </c>
      <c r="D4" s="7" t="s">
        <v>5</v>
      </c>
    </row>
    <row r="5" spans="1:4" x14ac:dyDescent="0.2">
      <c r="A5" t="s">
        <v>6</v>
      </c>
      <c r="B5" s="9">
        <v>900</v>
      </c>
      <c r="C5" t="s">
        <v>7</v>
      </c>
      <c r="D5" t="s">
        <v>8</v>
      </c>
    </row>
    <row r="6" spans="1:4" x14ac:dyDescent="0.2">
      <c r="A6" t="s">
        <v>9</v>
      </c>
      <c r="B6" s="10">
        <v>0.7</v>
      </c>
      <c r="C6" t="s">
        <v>10</v>
      </c>
      <c r="D6" t="s">
        <v>11</v>
      </c>
    </row>
    <row r="7" spans="1:4" x14ac:dyDescent="0.2">
      <c r="A7" t="s">
        <v>12</v>
      </c>
      <c r="B7" s="10">
        <v>0.05</v>
      </c>
      <c r="C7" t="s">
        <v>10</v>
      </c>
      <c r="D7" t="s">
        <v>13</v>
      </c>
    </row>
    <row r="8" spans="1:4" x14ac:dyDescent="0.2">
      <c r="A8" t="s">
        <v>14</v>
      </c>
      <c r="B8" s="9">
        <v>2000000</v>
      </c>
      <c r="C8" t="s">
        <v>7</v>
      </c>
      <c r="D8" t="s">
        <v>15</v>
      </c>
    </row>
    <row r="9" spans="1:4" x14ac:dyDescent="0.2">
      <c r="A9" t="s">
        <v>16</v>
      </c>
      <c r="B9" s="9">
        <v>500000</v>
      </c>
      <c r="C9" t="s">
        <v>7</v>
      </c>
      <c r="D9" t="s">
        <v>17</v>
      </c>
    </row>
    <row r="10" spans="1:4" x14ac:dyDescent="0.2">
      <c r="A10" t="s">
        <v>18</v>
      </c>
      <c r="B10" s="10">
        <v>0.03</v>
      </c>
      <c r="C10" t="s">
        <v>10</v>
      </c>
      <c r="D10" t="s">
        <v>19</v>
      </c>
    </row>
    <row r="11" spans="1:4" x14ac:dyDescent="0.2">
      <c r="A11" t="s">
        <v>20</v>
      </c>
      <c r="B11" s="9">
        <v>200</v>
      </c>
      <c r="C11" t="s">
        <v>7</v>
      </c>
      <c r="D11" t="s">
        <v>21</v>
      </c>
    </row>
    <row r="12" spans="1:4" x14ac:dyDescent="0.2">
      <c r="A12" t="s">
        <v>22</v>
      </c>
      <c r="B12" s="9">
        <v>8</v>
      </c>
      <c r="C12" t="s">
        <v>7</v>
      </c>
      <c r="D12" t="s">
        <v>23</v>
      </c>
    </row>
    <row r="13" spans="1:4" x14ac:dyDescent="0.2">
      <c r="A13" t="s">
        <v>24</v>
      </c>
      <c r="B13" s="11">
        <v>200</v>
      </c>
      <c r="C13" t="s">
        <v>25</v>
      </c>
      <c r="D13" t="s">
        <v>26</v>
      </c>
    </row>
    <row r="14" spans="1:4" x14ac:dyDescent="0.2">
      <c r="A14" t="s">
        <v>27</v>
      </c>
      <c r="B14" s="9">
        <v>2900000</v>
      </c>
      <c r="C14" t="s">
        <v>7</v>
      </c>
      <c r="D14" t="s">
        <v>28</v>
      </c>
    </row>
    <row r="15" spans="1:4" x14ac:dyDescent="0.2">
      <c r="A15" t="s">
        <v>29</v>
      </c>
      <c r="B15" s="10">
        <v>0.08</v>
      </c>
      <c r="C15" t="s">
        <v>10</v>
      </c>
      <c r="D15" t="s">
        <v>30</v>
      </c>
    </row>
    <row r="16" spans="1:4" x14ac:dyDescent="0.2">
      <c r="A16" t="s">
        <v>31</v>
      </c>
      <c r="B16" s="9">
        <v>21000000</v>
      </c>
      <c r="C16" t="s">
        <v>7</v>
      </c>
      <c r="D16" t="s">
        <v>32</v>
      </c>
    </row>
    <row r="17" spans="1:4" x14ac:dyDescent="0.2">
      <c r="A17" t="s">
        <v>33</v>
      </c>
      <c r="B17" s="10">
        <v>2.5000000000000001E-2</v>
      </c>
      <c r="C17" t="s">
        <v>10</v>
      </c>
      <c r="D17" t="s">
        <v>34</v>
      </c>
    </row>
    <row r="19" spans="1:4" x14ac:dyDescent="0.2">
      <c r="A19" s="3" t="s">
        <v>35</v>
      </c>
      <c r="B19" s="4"/>
      <c r="C19" s="4"/>
      <c r="D19" s="4"/>
    </row>
    <row r="20" spans="1:4" x14ac:dyDescent="0.2">
      <c r="A20" s="7" t="s">
        <v>2</v>
      </c>
      <c r="B20" s="7" t="s">
        <v>3</v>
      </c>
      <c r="C20" s="7" t="s">
        <v>4</v>
      </c>
      <c r="D20" s="7" t="s">
        <v>5</v>
      </c>
    </row>
    <row r="21" spans="1:4" x14ac:dyDescent="0.2">
      <c r="A21" t="s">
        <v>36</v>
      </c>
      <c r="B21" s="10">
        <v>0.15</v>
      </c>
      <c r="C21" t="s">
        <v>10</v>
      </c>
      <c r="D21" t="s">
        <v>37</v>
      </c>
    </row>
    <row r="22" spans="1:4" x14ac:dyDescent="0.2">
      <c r="A22" t="s">
        <v>38</v>
      </c>
      <c r="B22" s="10">
        <v>0.4</v>
      </c>
      <c r="C22" t="s">
        <v>10</v>
      </c>
      <c r="D22" t="s">
        <v>39</v>
      </c>
    </row>
    <row r="23" spans="1:4" x14ac:dyDescent="0.2">
      <c r="A23" t="s">
        <v>40</v>
      </c>
      <c r="B23" s="10">
        <v>0.65</v>
      </c>
      <c r="C23" t="s">
        <v>10</v>
      </c>
      <c r="D23" t="s">
        <v>41</v>
      </c>
    </row>
    <row r="24" spans="1:4" x14ac:dyDescent="0.2">
      <c r="A24" t="s">
        <v>42</v>
      </c>
      <c r="B24" s="10">
        <v>0.85</v>
      </c>
      <c r="C24" t="s">
        <v>10</v>
      </c>
      <c r="D24" t="s">
        <v>43</v>
      </c>
    </row>
    <row r="25" spans="1:4" x14ac:dyDescent="0.2">
      <c r="A25" t="s">
        <v>44</v>
      </c>
      <c r="B25" s="10">
        <v>0.7</v>
      </c>
      <c r="C25" t="s">
        <v>10</v>
      </c>
      <c r="D25" t="s">
        <v>45</v>
      </c>
    </row>
    <row r="26" spans="1:4" x14ac:dyDescent="0.2">
      <c r="A26" t="s">
        <v>46</v>
      </c>
      <c r="B26" s="9">
        <v>8</v>
      </c>
      <c r="C26" t="s">
        <v>47</v>
      </c>
      <c r="D26" t="s">
        <v>48</v>
      </c>
    </row>
    <row r="27" spans="1:4" x14ac:dyDescent="0.2">
      <c r="A27" t="s">
        <v>49</v>
      </c>
      <c r="B27" s="11">
        <v>85</v>
      </c>
      <c r="C27" t="s">
        <v>50</v>
      </c>
      <c r="D27" t="s">
        <v>51</v>
      </c>
    </row>
    <row r="28" spans="1:4" x14ac:dyDescent="0.2">
      <c r="A28" t="s">
        <v>52</v>
      </c>
      <c r="B28" s="10">
        <v>0.03</v>
      </c>
      <c r="C28" t="s">
        <v>10</v>
      </c>
      <c r="D28" t="s">
        <v>53</v>
      </c>
    </row>
    <row r="29" spans="1:4" x14ac:dyDescent="0.2">
      <c r="A29" t="s">
        <v>54</v>
      </c>
      <c r="B29" s="10">
        <v>0.12</v>
      </c>
      <c r="C29" t="s">
        <v>10</v>
      </c>
      <c r="D29" t="s">
        <v>55</v>
      </c>
    </row>
    <row r="30" spans="1:4" x14ac:dyDescent="0.2">
      <c r="A30" t="s">
        <v>56</v>
      </c>
      <c r="B30" s="11">
        <v>99</v>
      </c>
      <c r="C30" t="s">
        <v>57</v>
      </c>
      <c r="D30" t="s">
        <v>58</v>
      </c>
    </row>
    <row r="31" spans="1:4" x14ac:dyDescent="0.2">
      <c r="A31" t="s">
        <v>59</v>
      </c>
      <c r="B31" s="10">
        <v>0.25</v>
      </c>
      <c r="C31" t="s">
        <v>10</v>
      </c>
      <c r="D31" t="s">
        <v>60</v>
      </c>
    </row>
    <row r="32" spans="1:4" x14ac:dyDescent="0.2">
      <c r="A32" t="s">
        <v>61</v>
      </c>
      <c r="B32" s="10">
        <v>0.15</v>
      </c>
      <c r="C32" t="s">
        <v>10</v>
      </c>
      <c r="D32" t="s">
        <v>62</v>
      </c>
    </row>
    <row r="33" spans="1:4" x14ac:dyDescent="0.2">
      <c r="A33" t="s">
        <v>63</v>
      </c>
      <c r="B33" s="10">
        <v>0.1</v>
      </c>
      <c r="C33" t="s">
        <v>10</v>
      </c>
      <c r="D33" t="s">
        <v>64</v>
      </c>
    </row>
    <row r="34" spans="1:4" x14ac:dyDescent="0.2">
      <c r="A34" t="s">
        <v>65</v>
      </c>
      <c r="B34" s="10">
        <v>0.05</v>
      </c>
      <c r="C34" t="s">
        <v>10</v>
      </c>
      <c r="D34" t="s">
        <v>66</v>
      </c>
    </row>
    <row r="35" spans="1:4" x14ac:dyDescent="0.2">
      <c r="A35" t="s">
        <v>67</v>
      </c>
      <c r="B35" s="9">
        <v>44</v>
      </c>
      <c r="C35" t="s">
        <v>68</v>
      </c>
      <c r="D35" t="s">
        <v>69</v>
      </c>
    </row>
    <row r="37" spans="1:4" x14ac:dyDescent="0.2">
      <c r="A37" s="3" t="s">
        <v>70</v>
      </c>
      <c r="B37" s="4"/>
      <c r="C37" s="4"/>
      <c r="D37" s="4"/>
    </row>
    <row r="38" spans="1:4" x14ac:dyDescent="0.2">
      <c r="A38" s="6" t="s">
        <v>2</v>
      </c>
      <c r="B38" s="6" t="s">
        <v>3</v>
      </c>
      <c r="C38" s="6" t="s">
        <v>4</v>
      </c>
      <c r="D38" s="6" t="s">
        <v>5</v>
      </c>
    </row>
    <row r="39" spans="1:4" x14ac:dyDescent="0.2">
      <c r="A39" t="s">
        <v>71</v>
      </c>
      <c r="B39" s="9">
        <v>10</v>
      </c>
      <c r="C39" t="s">
        <v>7</v>
      </c>
      <c r="D39" t="s">
        <v>72</v>
      </c>
    </row>
    <row r="40" spans="1:4" x14ac:dyDescent="0.2">
      <c r="A40" t="s">
        <v>73</v>
      </c>
      <c r="B40" s="9">
        <v>30</v>
      </c>
      <c r="C40" t="s">
        <v>7</v>
      </c>
      <c r="D40" t="s">
        <v>74</v>
      </c>
    </row>
    <row r="41" spans="1:4" x14ac:dyDescent="0.2">
      <c r="A41" t="s">
        <v>75</v>
      </c>
      <c r="B41" s="9">
        <v>50</v>
      </c>
      <c r="C41" t="s">
        <v>7</v>
      </c>
      <c r="D41" t="s">
        <v>76</v>
      </c>
    </row>
    <row r="42" spans="1:4" x14ac:dyDescent="0.2">
      <c r="A42" t="s">
        <v>77</v>
      </c>
      <c r="B42" s="9">
        <v>50000</v>
      </c>
      <c r="C42" t="s">
        <v>7</v>
      </c>
      <c r="D42" t="s">
        <v>78</v>
      </c>
    </row>
    <row r="43" spans="1:4" x14ac:dyDescent="0.2">
      <c r="A43" t="s">
        <v>79</v>
      </c>
      <c r="B43" s="10">
        <v>0.04</v>
      </c>
      <c r="C43" t="s">
        <v>10</v>
      </c>
      <c r="D43" t="s">
        <v>80</v>
      </c>
    </row>
    <row r="44" spans="1:4" x14ac:dyDescent="0.2">
      <c r="A44" t="s">
        <v>81</v>
      </c>
      <c r="B44" s="10">
        <v>0.02</v>
      </c>
      <c r="C44" t="s">
        <v>10</v>
      </c>
      <c r="D44" t="s">
        <v>82</v>
      </c>
    </row>
    <row r="45" spans="1:4" x14ac:dyDescent="0.2">
      <c r="A45" t="s">
        <v>83</v>
      </c>
      <c r="B45" s="10">
        <v>0.08</v>
      </c>
      <c r="C45" t="s">
        <v>10</v>
      </c>
      <c r="D45" t="s">
        <v>84</v>
      </c>
    </row>
    <row r="46" spans="1:4" x14ac:dyDescent="0.2">
      <c r="A46" t="s">
        <v>85</v>
      </c>
      <c r="B46" s="10">
        <v>0.25</v>
      </c>
      <c r="C46" t="s">
        <v>10</v>
      </c>
      <c r="D46" t="s">
        <v>86</v>
      </c>
    </row>
    <row r="47" spans="1:4" x14ac:dyDescent="0.2">
      <c r="A47" t="s">
        <v>87</v>
      </c>
      <c r="B47" s="11">
        <v>500</v>
      </c>
      <c r="C47" t="s">
        <v>50</v>
      </c>
      <c r="D47" t="s">
        <v>88</v>
      </c>
    </row>
    <row r="48" spans="1:4" x14ac:dyDescent="0.2">
      <c r="A48" t="s">
        <v>89</v>
      </c>
      <c r="B48" s="11">
        <v>200</v>
      </c>
      <c r="C48" t="s">
        <v>50</v>
      </c>
      <c r="D48" t="s">
        <v>90</v>
      </c>
    </row>
    <row r="49" spans="1:4" x14ac:dyDescent="0.2">
      <c r="A49" t="s">
        <v>91</v>
      </c>
      <c r="B49" s="11">
        <v>100</v>
      </c>
      <c r="C49" t="s">
        <v>50</v>
      </c>
      <c r="D49" t="s">
        <v>92</v>
      </c>
    </row>
    <row r="50" spans="1:4" x14ac:dyDescent="0.2">
      <c r="A50" t="s">
        <v>93</v>
      </c>
      <c r="B50" s="11">
        <v>2000</v>
      </c>
      <c r="C50" t="s">
        <v>50</v>
      </c>
      <c r="D50" t="s">
        <v>94</v>
      </c>
    </row>
    <row r="52" spans="1:4" x14ac:dyDescent="0.2">
      <c r="A52" s="3" t="s">
        <v>95</v>
      </c>
      <c r="B52" s="4"/>
      <c r="C52" s="4"/>
      <c r="D52" s="4"/>
    </row>
    <row r="53" spans="1:4" x14ac:dyDescent="0.2">
      <c r="A53" s="6" t="s">
        <v>2</v>
      </c>
      <c r="B53" s="6" t="s">
        <v>3</v>
      </c>
      <c r="C53" s="6" t="s">
        <v>4</v>
      </c>
      <c r="D53" s="6" t="s">
        <v>5</v>
      </c>
    </row>
    <row r="54" spans="1:4" x14ac:dyDescent="0.2">
      <c r="A54" t="s">
        <v>96</v>
      </c>
      <c r="B54" s="9">
        <v>2</v>
      </c>
      <c r="C54" t="s">
        <v>7</v>
      </c>
      <c r="D54" t="s">
        <v>97</v>
      </c>
    </row>
    <row r="55" spans="1:4" x14ac:dyDescent="0.2">
      <c r="A55" t="s">
        <v>98</v>
      </c>
      <c r="B55" s="9">
        <v>5</v>
      </c>
      <c r="C55" t="s">
        <v>7</v>
      </c>
      <c r="D55" t="s">
        <v>99</v>
      </c>
    </row>
    <row r="56" spans="1:4" x14ac:dyDescent="0.2">
      <c r="A56" t="s">
        <v>100</v>
      </c>
      <c r="B56" s="9">
        <v>8</v>
      </c>
      <c r="C56" t="s">
        <v>7</v>
      </c>
      <c r="D56" t="s">
        <v>101</v>
      </c>
    </row>
    <row r="57" spans="1:4" x14ac:dyDescent="0.2">
      <c r="A57" t="s">
        <v>102</v>
      </c>
      <c r="B57" s="9">
        <v>500000</v>
      </c>
      <c r="C57" t="s">
        <v>7</v>
      </c>
      <c r="D57" t="s">
        <v>103</v>
      </c>
    </row>
    <row r="58" spans="1:4" x14ac:dyDescent="0.2">
      <c r="A58" t="s">
        <v>104</v>
      </c>
      <c r="B58" s="10">
        <v>0.3</v>
      </c>
      <c r="C58" t="s">
        <v>10</v>
      </c>
      <c r="D58" t="s">
        <v>105</v>
      </c>
    </row>
    <row r="59" spans="1:4" x14ac:dyDescent="0.2">
      <c r="A59" t="s">
        <v>106</v>
      </c>
      <c r="B59" s="10">
        <v>0.02</v>
      </c>
      <c r="C59" t="s">
        <v>10</v>
      </c>
      <c r="D59" t="s">
        <v>107</v>
      </c>
    </row>
    <row r="60" spans="1:4" x14ac:dyDescent="0.2">
      <c r="A60" t="s">
        <v>108</v>
      </c>
      <c r="B60" s="10">
        <v>0.4</v>
      </c>
      <c r="C60" t="s">
        <v>10</v>
      </c>
      <c r="D60" t="s">
        <v>109</v>
      </c>
    </row>
    <row r="61" spans="1:4" x14ac:dyDescent="0.2">
      <c r="A61" t="s">
        <v>110</v>
      </c>
      <c r="B61" s="10">
        <v>0.05</v>
      </c>
      <c r="C61" t="s">
        <v>10</v>
      </c>
      <c r="D61" t="s">
        <v>111</v>
      </c>
    </row>
    <row r="62" spans="1:4" x14ac:dyDescent="0.2">
      <c r="A62" t="s">
        <v>112</v>
      </c>
      <c r="B62" s="11">
        <v>25000</v>
      </c>
      <c r="C62" t="s">
        <v>50</v>
      </c>
      <c r="D62" t="s">
        <v>113</v>
      </c>
    </row>
    <row r="63" spans="1:4" x14ac:dyDescent="0.2">
      <c r="A63" t="s">
        <v>114</v>
      </c>
      <c r="B63" s="11">
        <v>40000</v>
      </c>
      <c r="C63" t="s">
        <v>50</v>
      </c>
      <c r="D63" t="s">
        <v>115</v>
      </c>
    </row>
    <row r="64" spans="1:4" x14ac:dyDescent="0.2">
      <c r="A64" t="s">
        <v>116</v>
      </c>
      <c r="B64" s="11">
        <v>15000</v>
      </c>
      <c r="C64" t="s">
        <v>50</v>
      </c>
      <c r="D64" t="s">
        <v>117</v>
      </c>
    </row>
    <row r="65" spans="1:4" x14ac:dyDescent="0.2">
      <c r="A65" t="s">
        <v>118</v>
      </c>
      <c r="B65" s="11">
        <v>85</v>
      </c>
      <c r="C65" t="s">
        <v>50</v>
      </c>
      <c r="D65" t="s">
        <v>119</v>
      </c>
    </row>
    <row r="67" spans="1:4" x14ac:dyDescent="0.2">
      <c r="A67" s="3" t="s">
        <v>120</v>
      </c>
      <c r="B67" s="4"/>
      <c r="C67" s="4"/>
      <c r="D67" s="4"/>
    </row>
    <row r="68" spans="1:4" x14ac:dyDescent="0.2">
      <c r="A68" s="6" t="s">
        <v>2</v>
      </c>
      <c r="B68" s="6" t="s">
        <v>3</v>
      </c>
      <c r="C68" s="6" t="s">
        <v>4</v>
      </c>
      <c r="D68" s="6" t="s">
        <v>5</v>
      </c>
    </row>
    <row r="69" spans="1:4" x14ac:dyDescent="0.2">
      <c r="A69" t="s">
        <v>121</v>
      </c>
      <c r="B69" s="9">
        <v>5</v>
      </c>
      <c r="C69" t="s">
        <v>7</v>
      </c>
      <c r="D69" t="s">
        <v>122</v>
      </c>
    </row>
    <row r="70" spans="1:4" x14ac:dyDescent="0.2">
      <c r="A70" t="s">
        <v>123</v>
      </c>
      <c r="B70" s="9">
        <v>20</v>
      </c>
      <c r="C70" t="s">
        <v>7</v>
      </c>
      <c r="D70" t="s">
        <v>124</v>
      </c>
    </row>
    <row r="71" spans="1:4" x14ac:dyDescent="0.2">
      <c r="A71" t="s">
        <v>125</v>
      </c>
      <c r="B71" s="9">
        <v>45</v>
      </c>
      <c r="C71" t="s">
        <v>7</v>
      </c>
      <c r="D71" t="s">
        <v>126</v>
      </c>
    </row>
    <row r="72" spans="1:4" x14ac:dyDescent="0.2">
      <c r="A72" t="s">
        <v>127</v>
      </c>
      <c r="B72" s="9">
        <v>80</v>
      </c>
      <c r="C72" t="s">
        <v>7</v>
      </c>
      <c r="D72" t="s">
        <v>128</v>
      </c>
    </row>
    <row r="73" spans="1:4" x14ac:dyDescent="0.2">
      <c r="A73" t="s">
        <v>129</v>
      </c>
      <c r="B73" s="9">
        <v>4</v>
      </c>
      <c r="C73" t="s">
        <v>130</v>
      </c>
      <c r="D73" t="s">
        <v>131</v>
      </c>
    </row>
    <row r="74" spans="1:4" x14ac:dyDescent="0.2">
      <c r="A74" t="s">
        <v>132</v>
      </c>
      <c r="B74" s="11">
        <v>8000</v>
      </c>
      <c r="C74" t="s">
        <v>50</v>
      </c>
      <c r="D74" t="s">
        <v>133</v>
      </c>
    </row>
    <row r="75" spans="1:4" x14ac:dyDescent="0.2">
      <c r="A75" t="s">
        <v>134</v>
      </c>
      <c r="B75" s="11">
        <v>15000</v>
      </c>
      <c r="C75" t="s">
        <v>135</v>
      </c>
      <c r="D75" t="s">
        <v>136</v>
      </c>
    </row>
    <row r="76" spans="1:4" x14ac:dyDescent="0.2">
      <c r="A76" t="s">
        <v>137</v>
      </c>
      <c r="B76" s="10">
        <v>0.3</v>
      </c>
      <c r="C76" t="s">
        <v>10</v>
      </c>
      <c r="D76" t="s">
        <v>138</v>
      </c>
    </row>
    <row r="77" spans="1:4" x14ac:dyDescent="0.2">
      <c r="A77" t="s">
        <v>139</v>
      </c>
      <c r="B77" s="11">
        <v>5000</v>
      </c>
      <c r="C77" t="s">
        <v>50</v>
      </c>
      <c r="D77" t="s">
        <v>140</v>
      </c>
    </row>
    <row r="78" spans="1:4" x14ac:dyDescent="0.2">
      <c r="A78" t="s">
        <v>141</v>
      </c>
      <c r="B78" s="10">
        <v>0.2</v>
      </c>
      <c r="C78" t="s">
        <v>10</v>
      </c>
      <c r="D78" t="s">
        <v>142</v>
      </c>
    </row>
    <row r="79" spans="1:4" x14ac:dyDescent="0.2">
      <c r="A79" t="s">
        <v>143</v>
      </c>
      <c r="B79" s="10">
        <v>0.8</v>
      </c>
      <c r="C79" t="s">
        <v>10</v>
      </c>
      <c r="D79" t="s">
        <v>144</v>
      </c>
    </row>
    <row r="80" spans="1:4" x14ac:dyDescent="0.2">
      <c r="A80" t="s">
        <v>145</v>
      </c>
      <c r="B80" s="10">
        <v>0.55000000000000004</v>
      </c>
      <c r="C80" t="s">
        <v>10</v>
      </c>
      <c r="D80" t="s">
        <v>146</v>
      </c>
    </row>
    <row r="81" spans="1:4" x14ac:dyDescent="0.2">
      <c r="A81" t="s">
        <v>147</v>
      </c>
      <c r="B81" s="9">
        <v>3</v>
      </c>
      <c r="C81" t="s">
        <v>148</v>
      </c>
      <c r="D81" t="s">
        <v>149</v>
      </c>
    </row>
    <row r="82" spans="1:4" x14ac:dyDescent="0.2">
      <c r="A82" t="s">
        <v>150</v>
      </c>
      <c r="B82" s="10">
        <v>0.25</v>
      </c>
      <c r="C82" t="s">
        <v>10</v>
      </c>
      <c r="D82" t="s">
        <v>151</v>
      </c>
    </row>
    <row r="84" spans="1:4" x14ac:dyDescent="0.2">
      <c r="A84" s="3" t="s">
        <v>152</v>
      </c>
      <c r="B84" s="4"/>
      <c r="C84" s="4"/>
      <c r="D84" s="4"/>
    </row>
    <row r="85" spans="1:4" x14ac:dyDescent="0.2">
      <c r="A85" s="6" t="s">
        <v>2</v>
      </c>
      <c r="B85" s="6" t="s">
        <v>3</v>
      </c>
      <c r="C85" s="6" t="s">
        <v>4</v>
      </c>
      <c r="D85" s="6" t="s">
        <v>5</v>
      </c>
    </row>
    <row r="86" spans="1:4" x14ac:dyDescent="0.2">
      <c r="A86" t="s">
        <v>153</v>
      </c>
      <c r="B86" s="11">
        <v>150000</v>
      </c>
      <c r="C86" t="s">
        <v>50</v>
      </c>
      <c r="D86" t="s">
        <v>154</v>
      </c>
    </row>
    <row r="87" spans="1:4" x14ac:dyDescent="0.2">
      <c r="A87" t="s">
        <v>155</v>
      </c>
      <c r="B87" s="11">
        <v>120000</v>
      </c>
      <c r="C87" t="s">
        <v>50</v>
      </c>
      <c r="D87" t="s">
        <v>156</v>
      </c>
    </row>
    <row r="88" spans="1:4" x14ac:dyDescent="0.2">
      <c r="A88" t="s">
        <v>157</v>
      </c>
      <c r="B88" s="11">
        <v>110000</v>
      </c>
      <c r="C88" t="s">
        <v>50</v>
      </c>
      <c r="D88" t="s">
        <v>158</v>
      </c>
    </row>
    <row r="89" spans="1:4" x14ac:dyDescent="0.2">
      <c r="A89" t="s">
        <v>159</v>
      </c>
      <c r="B89" s="11">
        <v>75000</v>
      </c>
      <c r="C89" t="s">
        <v>50</v>
      </c>
      <c r="D89" t="s">
        <v>158</v>
      </c>
    </row>
    <row r="90" spans="1:4" x14ac:dyDescent="0.2">
      <c r="A90" t="s">
        <v>160</v>
      </c>
      <c r="B90" s="11">
        <v>85000</v>
      </c>
      <c r="C90" t="s">
        <v>50</v>
      </c>
      <c r="D90" t="s">
        <v>158</v>
      </c>
    </row>
    <row r="91" spans="1:4" x14ac:dyDescent="0.2">
      <c r="A91" t="s">
        <v>161</v>
      </c>
      <c r="B91" s="11">
        <v>55000</v>
      </c>
      <c r="C91" t="s">
        <v>50</v>
      </c>
      <c r="D91" t="s">
        <v>162</v>
      </c>
    </row>
    <row r="92" spans="1:4" x14ac:dyDescent="0.2">
      <c r="A92" t="s">
        <v>163</v>
      </c>
      <c r="B92" s="11">
        <v>60000</v>
      </c>
      <c r="C92" t="s">
        <v>50</v>
      </c>
      <c r="D92" t="s">
        <v>162</v>
      </c>
    </row>
    <row r="93" spans="1:4" x14ac:dyDescent="0.2">
      <c r="A93" t="s">
        <v>164</v>
      </c>
      <c r="B93" s="11">
        <v>65000</v>
      </c>
      <c r="C93" t="s">
        <v>50</v>
      </c>
      <c r="D93" t="s">
        <v>162</v>
      </c>
    </row>
    <row r="94" spans="1:4" x14ac:dyDescent="0.2">
      <c r="A94" t="s">
        <v>165</v>
      </c>
      <c r="B94" s="10">
        <v>0.25</v>
      </c>
      <c r="C94" t="s">
        <v>10</v>
      </c>
      <c r="D94" t="s">
        <v>166</v>
      </c>
    </row>
    <row r="95" spans="1:4" x14ac:dyDescent="0.2">
      <c r="A95" t="s">
        <v>167</v>
      </c>
      <c r="B95" s="10">
        <v>0.03</v>
      </c>
      <c r="C95" t="s">
        <v>10</v>
      </c>
      <c r="D95" t="s">
        <v>168</v>
      </c>
    </row>
    <row r="96" spans="1:4" x14ac:dyDescent="0.2">
      <c r="A96" t="s">
        <v>169</v>
      </c>
      <c r="B96" s="11">
        <v>60000</v>
      </c>
      <c r="C96" t="s">
        <v>50</v>
      </c>
      <c r="D96" t="s">
        <v>170</v>
      </c>
    </row>
    <row r="97" spans="1:4" x14ac:dyDescent="0.2">
      <c r="A97" t="s">
        <v>171</v>
      </c>
      <c r="B97" s="11">
        <v>18000</v>
      </c>
      <c r="C97" t="s">
        <v>50</v>
      </c>
      <c r="D97" t="s">
        <v>172</v>
      </c>
    </row>
    <row r="98" spans="1:4" x14ac:dyDescent="0.2">
      <c r="A98" t="s">
        <v>173</v>
      </c>
      <c r="B98" s="11">
        <v>48000</v>
      </c>
      <c r="C98" t="s">
        <v>50</v>
      </c>
      <c r="D98" t="s">
        <v>174</v>
      </c>
    </row>
    <row r="99" spans="1:4" x14ac:dyDescent="0.2">
      <c r="A99" t="s">
        <v>175</v>
      </c>
      <c r="B99" s="11">
        <v>75000</v>
      </c>
      <c r="C99" t="s">
        <v>50</v>
      </c>
      <c r="D99" t="s">
        <v>176</v>
      </c>
    </row>
    <row r="100" spans="1:4" x14ac:dyDescent="0.2">
      <c r="A100" t="s">
        <v>177</v>
      </c>
      <c r="B100" s="11">
        <v>40000</v>
      </c>
      <c r="C100" t="s">
        <v>50</v>
      </c>
      <c r="D100" t="s">
        <v>178</v>
      </c>
    </row>
    <row r="101" spans="1:4" x14ac:dyDescent="0.2">
      <c r="A101" t="s">
        <v>179</v>
      </c>
      <c r="B101" s="11">
        <v>30000</v>
      </c>
      <c r="C101" t="s">
        <v>50</v>
      </c>
      <c r="D101" t="s">
        <v>180</v>
      </c>
    </row>
    <row r="102" spans="1:4" x14ac:dyDescent="0.2">
      <c r="A102" t="s">
        <v>181</v>
      </c>
      <c r="B102" s="11">
        <v>25000</v>
      </c>
      <c r="C102" t="s">
        <v>50</v>
      </c>
      <c r="D102" t="s">
        <v>182</v>
      </c>
    </row>
    <row r="103" spans="1:4" x14ac:dyDescent="0.2">
      <c r="A103" t="s">
        <v>183</v>
      </c>
      <c r="B103" s="11">
        <v>20000</v>
      </c>
      <c r="C103" t="s">
        <v>50</v>
      </c>
      <c r="D103" t="s">
        <v>184</v>
      </c>
    </row>
    <row r="104" spans="1:4" x14ac:dyDescent="0.2">
      <c r="A104" t="s">
        <v>185</v>
      </c>
      <c r="B104" s="11">
        <v>15000</v>
      </c>
      <c r="C104" t="s">
        <v>50</v>
      </c>
      <c r="D104" t="s">
        <v>186</v>
      </c>
    </row>
    <row r="106" spans="1:4" x14ac:dyDescent="0.2">
      <c r="A106" s="3" t="s">
        <v>187</v>
      </c>
      <c r="B106" s="4"/>
      <c r="C106" s="4"/>
      <c r="D106" s="4"/>
    </row>
    <row r="107" spans="1:4" x14ac:dyDescent="0.2">
      <c r="A107" s="6" t="s">
        <v>2</v>
      </c>
      <c r="B107" s="6" t="s">
        <v>3</v>
      </c>
      <c r="C107" s="6" t="s">
        <v>4</v>
      </c>
      <c r="D107" s="6" t="s">
        <v>5</v>
      </c>
    </row>
    <row r="108" spans="1:4" x14ac:dyDescent="0.2">
      <c r="A108" t="s">
        <v>188</v>
      </c>
      <c r="B108" s="10">
        <v>0.25</v>
      </c>
      <c r="C108" t="s">
        <v>10</v>
      </c>
      <c r="D108" t="s">
        <v>189</v>
      </c>
    </row>
    <row r="109" spans="1:4" x14ac:dyDescent="0.2">
      <c r="A109" t="s">
        <v>190</v>
      </c>
      <c r="B109" s="10">
        <v>0.15</v>
      </c>
      <c r="C109" t="s">
        <v>10</v>
      </c>
      <c r="D109" t="s">
        <v>191</v>
      </c>
    </row>
    <row r="110" spans="1:4" x14ac:dyDescent="0.2">
      <c r="A110" t="s">
        <v>192</v>
      </c>
      <c r="B110" s="10">
        <v>0.03</v>
      </c>
      <c r="C110" t="s">
        <v>10</v>
      </c>
      <c r="D110" t="s">
        <v>193</v>
      </c>
    </row>
    <row r="111" spans="1:4" x14ac:dyDescent="0.2">
      <c r="A111" t="s">
        <v>194</v>
      </c>
      <c r="B111" s="9">
        <v>12</v>
      </c>
      <c r="C111" t="s">
        <v>195</v>
      </c>
      <c r="D111" t="s">
        <v>196</v>
      </c>
    </row>
    <row r="112" spans="1:4" x14ac:dyDescent="0.2">
      <c r="A112" t="s">
        <v>197</v>
      </c>
      <c r="B112" s="9">
        <v>10</v>
      </c>
      <c r="C112" t="s">
        <v>195</v>
      </c>
      <c r="D112" t="s">
        <v>198</v>
      </c>
    </row>
    <row r="113" spans="1:4" x14ac:dyDescent="0.2">
      <c r="A113" t="s">
        <v>199</v>
      </c>
      <c r="B113" s="10">
        <v>0.5</v>
      </c>
      <c r="C113" t="s">
        <v>10</v>
      </c>
      <c r="D113" t="s">
        <v>200</v>
      </c>
    </row>
    <row r="114" spans="1:4" x14ac:dyDescent="0.2">
      <c r="A114" t="s">
        <v>201</v>
      </c>
      <c r="B114" s="10">
        <v>0.08</v>
      </c>
      <c r="C114" t="s">
        <v>10</v>
      </c>
      <c r="D114" t="s">
        <v>202</v>
      </c>
    </row>
    <row r="115" spans="1:4" x14ac:dyDescent="0.2">
      <c r="A115" t="s">
        <v>203</v>
      </c>
      <c r="B115" s="10">
        <v>0.12</v>
      </c>
      <c r="C115" t="s">
        <v>10</v>
      </c>
      <c r="D115" t="s">
        <v>204</v>
      </c>
    </row>
    <row r="116" spans="1:4" x14ac:dyDescent="0.2">
      <c r="A116" t="s">
        <v>205</v>
      </c>
      <c r="B116" s="10">
        <v>0.7</v>
      </c>
      <c r="C116" t="s">
        <v>10</v>
      </c>
      <c r="D116" t="s">
        <v>206</v>
      </c>
    </row>
    <row r="117" spans="1:4" x14ac:dyDescent="0.2">
      <c r="A117" t="s">
        <v>207</v>
      </c>
      <c r="B117" s="10">
        <v>0.05</v>
      </c>
      <c r="C117" t="s">
        <v>10</v>
      </c>
      <c r="D117" t="s">
        <v>208</v>
      </c>
    </row>
    <row r="118" spans="1:4" x14ac:dyDescent="0.2">
      <c r="A118" t="s">
        <v>209</v>
      </c>
      <c r="B118" s="10">
        <v>0.05</v>
      </c>
      <c r="C118" t="s">
        <v>10</v>
      </c>
      <c r="D118" t="s">
        <v>210</v>
      </c>
    </row>
    <row r="119" spans="1:4" x14ac:dyDescent="0.2">
      <c r="A119" t="s">
        <v>211</v>
      </c>
      <c r="B119" s="10">
        <v>0.08</v>
      </c>
      <c r="C119" t="s">
        <v>10</v>
      </c>
      <c r="D119" t="s">
        <v>212</v>
      </c>
    </row>
    <row r="120" spans="1:4" x14ac:dyDescent="0.2">
      <c r="A120" t="s">
        <v>213</v>
      </c>
      <c r="B120" s="10">
        <v>0.03</v>
      </c>
      <c r="C120" t="s">
        <v>10</v>
      </c>
      <c r="D120" t="s">
        <v>214</v>
      </c>
    </row>
    <row r="121" spans="1:4" x14ac:dyDescent="0.2">
      <c r="A121" t="s">
        <v>215</v>
      </c>
      <c r="B121" s="10">
        <v>0.03</v>
      </c>
      <c r="C121" t="s">
        <v>10</v>
      </c>
      <c r="D121" t="s">
        <v>216</v>
      </c>
    </row>
    <row r="122" spans="1:4" x14ac:dyDescent="0.2">
      <c r="A122" t="s">
        <v>217</v>
      </c>
      <c r="B122" s="10">
        <v>0.15</v>
      </c>
      <c r="C122" t="s">
        <v>10</v>
      </c>
      <c r="D122" t="s">
        <v>218</v>
      </c>
    </row>
    <row r="124" spans="1:4" x14ac:dyDescent="0.2">
      <c r="A124" s="3" t="s">
        <v>219</v>
      </c>
      <c r="B124" s="4"/>
      <c r="C124" s="4"/>
      <c r="D124" s="4"/>
    </row>
    <row r="125" spans="1:4" x14ac:dyDescent="0.2">
      <c r="A125" s="6" t="s">
        <v>2</v>
      </c>
      <c r="B125" s="6" t="s">
        <v>3</v>
      </c>
      <c r="C125" s="6" t="s">
        <v>4</v>
      </c>
      <c r="D125" s="6" t="s">
        <v>5</v>
      </c>
    </row>
    <row r="126" spans="1:4" x14ac:dyDescent="0.2">
      <c r="A126" t="s">
        <v>220</v>
      </c>
      <c r="B126" s="10">
        <v>0.75</v>
      </c>
      <c r="C126" t="s">
        <v>10</v>
      </c>
      <c r="D126" t="s">
        <v>221</v>
      </c>
    </row>
    <row r="127" spans="1:4" x14ac:dyDescent="0.2">
      <c r="A127" t="s">
        <v>222</v>
      </c>
      <c r="B127" s="10">
        <v>0.55000000000000004</v>
      </c>
      <c r="C127" t="s">
        <v>10</v>
      </c>
      <c r="D127" t="s">
        <v>223</v>
      </c>
    </row>
    <row r="128" spans="1:4" x14ac:dyDescent="0.2">
      <c r="A128" t="s">
        <v>224</v>
      </c>
      <c r="B128" s="10">
        <v>0.45</v>
      </c>
      <c r="C128" t="s">
        <v>10</v>
      </c>
      <c r="D128" t="s">
        <v>225</v>
      </c>
    </row>
    <row r="129" spans="1:4" x14ac:dyDescent="0.2">
      <c r="A129" t="s">
        <v>226</v>
      </c>
      <c r="B129" s="10">
        <v>0.45</v>
      </c>
      <c r="C129" t="s">
        <v>10</v>
      </c>
      <c r="D129" t="s">
        <v>227</v>
      </c>
    </row>
    <row r="130" spans="1:4" x14ac:dyDescent="0.2">
      <c r="A130" t="s">
        <v>228</v>
      </c>
      <c r="B130" s="10">
        <v>0.25</v>
      </c>
      <c r="C130" t="s">
        <v>10</v>
      </c>
      <c r="D130" t="s">
        <v>229</v>
      </c>
    </row>
    <row r="131" spans="1:4" x14ac:dyDescent="0.2">
      <c r="A131" t="s">
        <v>230</v>
      </c>
      <c r="B131" s="10">
        <v>0.35</v>
      </c>
      <c r="C131" t="s">
        <v>10</v>
      </c>
      <c r="D131" t="s">
        <v>231</v>
      </c>
    </row>
    <row r="132" spans="1:4" x14ac:dyDescent="0.2">
      <c r="A132" t="s">
        <v>232</v>
      </c>
      <c r="B132" s="11">
        <v>25</v>
      </c>
      <c r="C132" t="s">
        <v>50</v>
      </c>
      <c r="D132" t="s">
        <v>233</v>
      </c>
    </row>
    <row r="133" spans="1:4" x14ac:dyDescent="0.2">
      <c r="A133" t="s">
        <v>234</v>
      </c>
      <c r="B133" s="11">
        <v>40</v>
      </c>
      <c r="C133" t="s">
        <v>50</v>
      </c>
      <c r="D133" t="s">
        <v>235</v>
      </c>
    </row>
    <row r="134" spans="1:4" x14ac:dyDescent="0.2">
      <c r="A134" t="s">
        <v>236</v>
      </c>
      <c r="B134" s="11">
        <v>35</v>
      </c>
      <c r="C134" t="s">
        <v>50</v>
      </c>
      <c r="D134" t="s">
        <v>237</v>
      </c>
    </row>
    <row r="135" spans="1:4" x14ac:dyDescent="0.2">
      <c r="A135" t="s">
        <v>238</v>
      </c>
      <c r="B135" s="11">
        <v>2500</v>
      </c>
      <c r="C135" t="s">
        <v>50</v>
      </c>
      <c r="D135" t="s">
        <v>239</v>
      </c>
    </row>
    <row r="136" spans="1:4" x14ac:dyDescent="0.2">
      <c r="A136" t="s">
        <v>240</v>
      </c>
      <c r="B136" s="11">
        <v>680</v>
      </c>
      <c r="C136" t="s">
        <v>50</v>
      </c>
      <c r="D136" t="s">
        <v>241</v>
      </c>
    </row>
    <row r="137" spans="1:4" x14ac:dyDescent="0.2">
      <c r="A137" t="s">
        <v>242</v>
      </c>
      <c r="B137" s="11">
        <v>48000</v>
      </c>
      <c r="C137" t="s">
        <v>50</v>
      </c>
      <c r="D137" t="s">
        <v>243</v>
      </c>
    </row>
    <row r="138" spans="1:4" x14ac:dyDescent="0.2">
      <c r="A138" t="s">
        <v>244</v>
      </c>
      <c r="B138" s="9">
        <v>6</v>
      </c>
      <c r="C138" t="s">
        <v>148</v>
      </c>
      <c r="D138" t="s">
        <v>245</v>
      </c>
    </row>
    <row r="139" spans="1:4" x14ac:dyDescent="0.2">
      <c r="A139" t="s">
        <v>246</v>
      </c>
      <c r="B139" s="10">
        <v>0.3</v>
      </c>
      <c r="C139" t="s">
        <v>10</v>
      </c>
      <c r="D139" t="s">
        <v>247</v>
      </c>
    </row>
    <row r="140" spans="1:4" x14ac:dyDescent="0.2">
      <c r="A140" t="s">
        <v>248</v>
      </c>
      <c r="B140" s="10">
        <v>0.2</v>
      </c>
      <c r="C140" t="s">
        <v>10</v>
      </c>
      <c r="D140" t="s">
        <v>249</v>
      </c>
    </row>
    <row r="141" spans="1:4" x14ac:dyDescent="0.2">
      <c r="A141" t="s">
        <v>250</v>
      </c>
      <c r="B141" s="9">
        <v>12</v>
      </c>
      <c r="C141" t="s">
        <v>148</v>
      </c>
      <c r="D141" t="s">
        <v>251</v>
      </c>
    </row>
    <row r="142" spans="1:4" x14ac:dyDescent="0.2">
      <c r="A142" t="s">
        <v>252</v>
      </c>
      <c r="B142" s="10">
        <v>0.4</v>
      </c>
      <c r="C142" t="s">
        <v>10</v>
      </c>
      <c r="D142" t="s">
        <v>253</v>
      </c>
    </row>
    <row r="143" spans="1:4" x14ac:dyDescent="0.2">
      <c r="A143" t="s">
        <v>254</v>
      </c>
      <c r="B143" s="10">
        <v>0.2</v>
      </c>
      <c r="C143" t="s">
        <v>10</v>
      </c>
      <c r="D143" t="s">
        <v>255</v>
      </c>
    </row>
    <row r="144" spans="1:4" x14ac:dyDescent="0.2">
      <c r="A144" t="s">
        <v>256</v>
      </c>
      <c r="B144" s="10">
        <v>0.2</v>
      </c>
      <c r="C144" t="s">
        <v>10</v>
      </c>
      <c r="D144" t="s">
        <v>257</v>
      </c>
    </row>
    <row r="146" spans="1:4" x14ac:dyDescent="0.2">
      <c r="A146" s="3" t="s">
        <v>878</v>
      </c>
      <c r="B146" s="4"/>
      <c r="C146" s="4"/>
      <c r="D146" s="4"/>
    </row>
    <row r="147" spans="1:4" x14ac:dyDescent="0.2">
      <c r="A147" s="21" t="s">
        <v>805</v>
      </c>
      <c r="B147" s="21" t="s">
        <v>3</v>
      </c>
      <c r="C147" s="21" t="s">
        <v>4</v>
      </c>
      <c r="D147" s="21" t="s">
        <v>879</v>
      </c>
    </row>
    <row r="148" spans="1:4" x14ac:dyDescent="0.2">
      <c r="A148" t="s">
        <v>880</v>
      </c>
      <c r="B148" s="11">
        <v>4500</v>
      </c>
      <c r="C148" t="s">
        <v>25</v>
      </c>
      <c r="D148" t="s">
        <v>881</v>
      </c>
    </row>
    <row r="149" spans="1:4" x14ac:dyDescent="0.2">
      <c r="A149" t="s">
        <v>882</v>
      </c>
      <c r="B149" s="10">
        <v>0.12</v>
      </c>
      <c r="C149" t="s">
        <v>10</v>
      </c>
      <c r="D149" t="s">
        <v>883</v>
      </c>
    </row>
    <row r="150" spans="1:4" x14ac:dyDescent="0.2">
      <c r="A150" t="s">
        <v>884</v>
      </c>
      <c r="B150" s="18">
        <f>B148*B149</f>
        <v>540</v>
      </c>
      <c r="C150" t="s">
        <v>25</v>
      </c>
      <c r="D150">
        <f>B148*B149</f>
        <v>540</v>
      </c>
    </row>
    <row r="151" spans="1:4" x14ac:dyDescent="0.2">
      <c r="A151" t="s">
        <v>885</v>
      </c>
      <c r="B151" s="11">
        <v>1200</v>
      </c>
      <c r="C151" t="s">
        <v>25</v>
      </c>
      <c r="D151" t="s">
        <v>886</v>
      </c>
    </row>
    <row r="152" spans="1:4" x14ac:dyDescent="0.2">
      <c r="A152" t="s">
        <v>887</v>
      </c>
      <c r="B152" s="11">
        <v>2800</v>
      </c>
      <c r="C152" t="s">
        <v>25</v>
      </c>
      <c r="D152" t="s">
        <v>888</v>
      </c>
    </row>
    <row r="153" spans="1:4" x14ac:dyDescent="0.2">
      <c r="A153" t="s">
        <v>889</v>
      </c>
      <c r="B153" s="10">
        <v>3.5000000000000003E-2</v>
      </c>
      <c r="C153" t="s">
        <v>10</v>
      </c>
      <c r="D153" t="s">
        <v>890</v>
      </c>
    </row>
    <row r="154" spans="1:4" x14ac:dyDescent="0.2">
      <c r="B154" s="8"/>
    </row>
    <row r="155" spans="1:4" x14ac:dyDescent="0.2">
      <c r="A155" s="56" t="s">
        <v>891</v>
      </c>
      <c r="B155" s="127">
        <f>B150+(B151*B149)+(B152*B153)</f>
        <v>782</v>
      </c>
      <c r="C155" s="58" t="s">
        <v>25</v>
      </c>
      <c r="D155" s="58">
        <f>B150+B151*B149+B152*B153</f>
        <v>782</v>
      </c>
    </row>
    <row r="156" spans="1:4" x14ac:dyDescent="0.2">
      <c r="A156" t="s">
        <v>892</v>
      </c>
      <c r="B156" s="10">
        <v>0.15</v>
      </c>
      <c r="C156" t="s">
        <v>10</v>
      </c>
      <c r="D156" t="s">
        <v>893</v>
      </c>
    </row>
    <row r="157" spans="1:4" x14ac:dyDescent="0.2">
      <c r="A157" t="s">
        <v>894</v>
      </c>
      <c r="B157" s="39">
        <f>B155*B156</f>
        <v>117.3</v>
      </c>
      <c r="C157" t="s">
        <v>25</v>
      </c>
      <c r="D157">
        <f>B155*B156</f>
        <v>117.3</v>
      </c>
    </row>
    <row r="158" spans="1:4" x14ac:dyDescent="0.2">
      <c r="A158" t="s">
        <v>895</v>
      </c>
      <c r="B158" s="39">
        <f>'Revenue Build'!F78/1000000</f>
        <v>4.1310154205565937</v>
      </c>
      <c r="C158" t="s">
        <v>25</v>
      </c>
      <c r="D158">
        <f>'Revenue Build'!F78/1000000</f>
        <v>4.1310154205565937</v>
      </c>
    </row>
    <row r="159" spans="1:4" x14ac:dyDescent="0.2">
      <c r="A159" s="5" t="s">
        <v>896</v>
      </c>
      <c r="B159" s="146">
        <f>IF(B157=0,0,B158/B157)</f>
        <v>3.5217522766893383E-2</v>
      </c>
      <c r="C159" t="s">
        <v>10</v>
      </c>
      <c r="D159">
        <f>B158/B157</f>
        <v>3.5217522766893383E-2</v>
      </c>
    </row>
    <row r="160" spans="1:4" x14ac:dyDescent="0.2">
      <c r="A160" t="s">
        <v>897</v>
      </c>
      <c r="B160" s="39">
        <f>'Revenue Build'!K78/1000000</f>
        <v>6.9418386186841694</v>
      </c>
      <c r="C160" t="s">
        <v>25</v>
      </c>
      <c r="D160">
        <f>'Revenue Build'!K78/1000000</f>
        <v>6.9418386186841694</v>
      </c>
    </row>
    <row r="161" spans="1:4" x14ac:dyDescent="0.2">
      <c r="A161" s="5" t="s">
        <v>898</v>
      </c>
      <c r="B161" s="146">
        <f>IF(B157=0,0,B160/B157)</f>
        <v>5.9180209877955407E-2</v>
      </c>
      <c r="C161" t="s">
        <v>10</v>
      </c>
      <c r="D161">
        <f>B160/B157</f>
        <v>5.9180209877955407E-2</v>
      </c>
    </row>
    <row r="163" spans="1:4" x14ac:dyDescent="0.2">
      <c r="A163" s="3" t="s">
        <v>899</v>
      </c>
      <c r="B163" s="4"/>
      <c r="C163" s="4"/>
      <c r="D163" s="4"/>
    </row>
    <row r="164" spans="1:4" x14ac:dyDescent="0.2">
      <c r="A164" s="21" t="s">
        <v>805</v>
      </c>
      <c r="B164" s="21" t="s">
        <v>3</v>
      </c>
      <c r="C164" s="21" t="s">
        <v>4</v>
      </c>
      <c r="D164" s="21" t="s">
        <v>900</v>
      </c>
    </row>
    <row r="165" spans="1:4" x14ac:dyDescent="0.2">
      <c r="A165" t="s">
        <v>901</v>
      </c>
      <c r="B165" s="147">
        <v>1.3</v>
      </c>
      <c r="C165" t="s">
        <v>195</v>
      </c>
      <c r="D165" t="s">
        <v>902</v>
      </c>
    </row>
    <row r="166" spans="1:4" x14ac:dyDescent="0.2">
      <c r="A166" t="s">
        <v>903</v>
      </c>
      <c r="B166" s="147">
        <v>0.55000000000000004</v>
      </c>
      <c r="C166" t="s">
        <v>195</v>
      </c>
      <c r="D166" t="s">
        <v>904</v>
      </c>
    </row>
    <row r="167" spans="1:4" x14ac:dyDescent="0.2">
      <c r="A167" t="s">
        <v>905</v>
      </c>
      <c r="B167" s="10">
        <v>0.7</v>
      </c>
      <c r="C167" t="s">
        <v>10</v>
      </c>
      <c r="D167" t="s">
        <v>906</v>
      </c>
    </row>
    <row r="168" spans="1:4" x14ac:dyDescent="0.2">
      <c r="A168" t="s">
        <v>907</v>
      </c>
      <c r="B168" s="10">
        <v>0.8</v>
      </c>
      <c r="C168" t="s">
        <v>10</v>
      </c>
      <c r="D168" t="s">
        <v>908</v>
      </c>
    </row>
    <row r="169" spans="1:4" x14ac:dyDescent="0.2">
      <c r="A169" t="s">
        <v>909</v>
      </c>
      <c r="B169" s="10">
        <v>0.85</v>
      </c>
      <c r="C169" t="s">
        <v>10</v>
      </c>
      <c r="D169" t="s">
        <v>910</v>
      </c>
    </row>
    <row r="170" spans="1:4" x14ac:dyDescent="0.2">
      <c r="A170" t="s">
        <v>911</v>
      </c>
      <c r="B170" s="10">
        <v>0.75</v>
      </c>
      <c r="C170" t="s">
        <v>10</v>
      </c>
      <c r="D170" t="s">
        <v>912</v>
      </c>
    </row>
    <row r="171" spans="1:4" x14ac:dyDescent="0.2">
      <c r="A171" t="s">
        <v>913</v>
      </c>
      <c r="B171" s="10">
        <v>0.85</v>
      </c>
      <c r="C171" t="s">
        <v>10</v>
      </c>
      <c r="D171" t="s">
        <v>914</v>
      </c>
    </row>
    <row r="172" spans="1:4" x14ac:dyDescent="0.2">
      <c r="A172" t="s">
        <v>915</v>
      </c>
      <c r="B172" s="9">
        <v>4</v>
      </c>
      <c r="C172" t="s">
        <v>7</v>
      </c>
      <c r="D172" t="s">
        <v>916</v>
      </c>
    </row>
    <row r="173" spans="1:4" x14ac:dyDescent="0.2">
      <c r="A173" t="s">
        <v>917</v>
      </c>
      <c r="B173" s="9">
        <v>8</v>
      </c>
      <c r="C173" t="s">
        <v>7</v>
      </c>
      <c r="D173" t="s">
        <v>918</v>
      </c>
    </row>
    <row r="174" spans="1:4" x14ac:dyDescent="0.2">
      <c r="A174" t="s">
        <v>919</v>
      </c>
      <c r="B174" s="10">
        <v>0.15</v>
      </c>
      <c r="C174" t="s">
        <v>10</v>
      </c>
      <c r="D174" t="s">
        <v>920</v>
      </c>
    </row>
    <row r="175" spans="1:4" x14ac:dyDescent="0.2">
      <c r="A175" t="s">
        <v>921</v>
      </c>
      <c r="B175" s="9">
        <v>14</v>
      </c>
      <c r="C175" t="s">
        <v>922</v>
      </c>
      <c r="D175" t="s">
        <v>923</v>
      </c>
    </row>
    <row r="176" spans="1:4" x14ac:dyDescent="0.2">
      <c r="A176" t="s">
        <v>924</v>
      </c>
      <c r="B176" s="9">
        <v>50</v>
      </c>
      <c r="C176" t="s">
        <v>7</v>
      </c>
      <c r="D176" t="s">
        <v>925</v>
      </c>
    </row>
  </sheetData>
  <mergeCells count="11">
    <mergeCell ref="A84:D84"/>
    <mergeCell ref="A106:D106"/>
    <mergeCell ref="A124:D124"/>
    <mergeCell ref="A146:D146"/>
    <mergeCell ref="A163:D163"/>
    <mergeCell ref="A1:D1"/>
    <mergeCell ref="A3:D3"/>
    <mergeCell ref="A19:D19"/>
    <mergeCell ref="A37:D37"/>
    <mergeCell ref="A52:D52"/>
    <mergeCell ref="A67:D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6558-3687-A245-9CB4-4F39B8A25936}">
  <sheetPr>
    <tabColor rgb="FF2E75B6"/>
  </sheetPr>
  <dimension ref="A1:K149"/>
  <sheetViews>
    <sheetView workbookViewId="0">
      <pane ySplit="2" topLeftCell="A3" activePane="bottomLeft" state="frozen"/>
      <selection pane="bottomLeft" sqref="A1:K1"/>
    </sheetView>
  </sheetViews>
  <sheetFormatPr baseColWidth="10" defaultRowHeight="16" x14ac:dyDescent="0.2"/>
  <cols>
    <col min="1" max="1" width="41.6640625" customWidth="1"/>
    <col min="2" max="11" width="15.83203125" customWidth="1"/>
    <col min="12" max="12" width="13.33203125" customWidth="1"/>
  </cols>
  <sheetData>
    <row r="1" spans="1:11" ht="19" x14ac:dyDescent="0.25">
      <c r="A1" s="1" t="s">
        <v>258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3"/>
      <c r="B2" s="14" t="s">
        <v>259</v>
      </c>
      <c r="C2" s="14" t="s">
        <v>260</v>
      </c>
      <c r="D2" s="14" t="s">
        <v>261</v>
      </c>
      <c r="E2" s="14" t="s">
        <v>262</v>
      </c>
      <c r="F2" s="14" t="s">
        <v>263</v>
      </c>
      <c r="G2" s="14" t="s">
        <v>264</v>
      </c>
      <c r="H2" s="14" t="s">
        <v>265</v>
      </c>
      <c r="I2" s="14" t="s">
        <v>266</v>
      </c>
      <c r="J2" s="14" t="s">
        <v>267</v>
      </c>
      <c r="K2" s="14" t="s">
        <v>268</v>
      </c>
    </row>
    <row r="4" spans="1:11" x14ac:dyDescent="0.2">
      <c r="A4" s="15" t="s">
        <v>269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x14ac:dyDescent="0.2">
      <c r="A5" t="s">
        <v>270</v>
      </c>
      <c r="B5" s="17">
        <f>Assumptions!B5*Assumptions!B6</f>
        <v>630</v>
      </c>
      <c r="C5" s="17">
        <f>Assumptions!B5*Assumptions!B6</f>
        <v>630</v>
      </c>
      <c r="D5" s="17">
        <f>Assumptions!B5*Assumptions!B6</f>
        <v>630</v>
      </c>
      <c r="E5" s="17">
        <f>Assumptions!B5*Assumptions!B6</f>
        <v>630</v>
      </c>
      <c r="F5" s="17">
        <f>Assumptions!B5*Assumptions!B6</f>
        <v>630</v>
      </c>
      <c r="G5" s="17">
        <f>Assumptions!B5*Assumptions!B6</f>
        <v>630</v>
      </c>
      <c r="H5" s="17">
        <f>Assumptions!B5*Assumptions!B6</f>
        <v>630</v>
      </c>
      <c r="I5" s="17">
        <f>Assumptions!B5*Assumptions!B6</f>
        <v>630</v>
      </c>
      <c r="J5" s="17">
        <f>Assumptions!B5*Assumptions!B6</f>
        <v>630</v>
      </c>
      <c r="K5" s="17">
        <f>Assumptions!B5*Assumptions!B6</f>
        <v>630</v>
      </c>
    </row>
    <row r="6" spans="1:11" x14ac:dyDescent="0.2">
      <c r="A6" t="s">
        <v>271</v>
      </c>
      <c r="B6" s="10">
        <v>0.15</v>
      </c>
      <c r="C6" s="10">
        <v>0.25</v>
      </c>
      <c r="D6" s="10">
        <v>0.4</v>
      </c>
      <c r="E6" s="10">
        <v>0.5</v>
      </c>
      <c r="F6" s="10">
        <v>0.65</v>
      </c>
      <c r="G6" s="10">
        <v>0.7</v>
      </c>
      <c r="H6" s="10">
        <v>0.75</v>
      </c>
      <c r="I6" s="10">
        <v>0.8</v>
      </c>
      <c r="J6" s="10">
        <v>0.82</v>
      </c>
      <c r="K6" s="10">
        <v>0.85</v>
      </c>
    </row>
    <row r="7" spans="1:11" x14ac:dyDescent="0.2">
      <c r="A7" t="s">
        <v>272</v>
      </c>
      <c r="B7" s="17">
        <f>B5*B6</f>
        <v>94.5</v>
      </c>
      <c r="C7" s="17">
        <f>C5*C6</f>
        <v>157.5</v>
      </c>
      <c r="D7" s="17">
        <f>D5*D6</f>
        <v>252</v>
      </c>
      <c r="E7" s="17">
        <f>E5*E6</f>
        <v>315</v>
      </c>
      <c r="F7" s="17">
        <f>F5*F6</f>
        <v>409.5</v>
      </c>
      <c r="G7" s="17">
        <f>G5*G6</f>
        <v>441</v>
      </c>
      <c r="H7" s="17">
        <f>H5*H6</f>
        <v>472.5</v>
      </c>
      <c r="I7" s="17">
        <f>I5*I6</f>
        <v>504</v>
      </c>
      <c r="J7" s="17">
        <f>J5*J6</f>
        <v>516.6</v>
      </c>
      <c r="K7" s="17">
        <f>K5*K6</f>
        <v>535.5</v>
      </c>
    </row>
    <row r="8" spans="1:11" x14ac:dyDescent="0.2">
      <c r="A8" t="s">
        <v>273</v>
      </c>
      <c r="B8" s="19">
        <f>Assumptions!B25</f>
        <v>0.7</v>
      </c>
      <c r="C8" s="19">
        <f>Assumptions!B25</f>
        <v>0.7</v>
      </c>
      <c r="D8" s="19">
        <f>Assumptions!B25</f>
        <v>0.7</v>
      </c>
      <c r="E8" s="19">
        <f>Assumptions!B25</f>
        <v>0.7</v>
      </c>
      <c r="F8" s="19">
        <f>Assumptions!B25</f>
        <v>0.7</v>
      </c>
      <c r="G8" s="19">
        <f>Assumptions!B25</f>
        <v>0.7</v>
      </c>
      <c r="H8" s="19">
        <f>Assumptions!B25</f>
        <v>0.7</v>
      </c>
      <c r="I8" s="19">
        <f>Assumptions!B25</f>
        <v>0.7</v>
      </c>
      <c r="J8" s="19">
        <f>Assumptions!B25</f>
        <v>0.7</v>
      </c>
      <c r="K8" s="19">
        <f>Assumptions!B25</f>
        <v>0.7</v>
      </c>
    </row>
    <row r="9" spans="1:11" x14ac:dyDescent="0.2">
      <c r="A9" t="s">
        <v>274</v>
      </c>
      <c r="B9" s="17">
        <f>B7*B8</f>
        <v>66.149999999999991</v>
      </c>
      <c r="C9" s="17">
        <f>C7*C8</f>
        <v>110.25</v>
      </c>
      <c r="D9" s="17">
        <f>D7*D8</f>
        <v>176.39999999999998</v>
      </c>
      <c r="E9" s="17">
        <f>E7*E8</f>
        <v>220.5</v>
      </c>
      <c r="F9" s="17">
        <f>F7*F8</f>
        <v>286.64999999999998</v>
      </c>
      <c r="G9" s="17">
        <f>G7*G8</f>
        <v>308.7</v>
      </c>
      <c r="H9" s="17">
        <f>H7*H8</f>
        <v>330.75</v>
      </c>
      <c r="I9" s="17">
        <f>I7*I8</f>
        <v>352.79999999999995</v>
      </c>
      <c r="J9" s="17">
        <f>J7*J8</f>
        <v>361.62</v>
      </c>
      <c r="K9" s="17">
        <f>K7*K8</f>
        <v>374.84999999999997</v>
      </c>
    </row>
    <row r="10" spans="1:11" x14ac:dyDescent="0.2">
      <c r="A10" t="s">
        <v>275</v>
      </c>
      <c r="B10" s="17">
        <f>Assumptions!B26</f>
        <v>8</v>
      </c>
      <c r="C10" s="17">
        <f>Assumptions!B26</f>
        <v>8</v>
      </c>
      <c r="D10" s="17">
        <f>Assumptions!B26</f>
        <v>8</v>
      </c>
      <c r="E10" s="17">
        <f>Assumptions!B26</f>
        <v>8</v>
      </c>
      <c r="F10" s="17">
        <f>Assumptions!B26</f>
        <v>8</v>
      </c>
      <c r="G10" s="17">
        <f>Assumptions!B26</f>
        <v>8</v>
      </c>
      <c r="H10" s="17">
        <f>Assumptions!B26</f>
        <v>8</v>
      </c>
      <c r="I10" s="17">
        <f>Assumptions!B26</f>
        <v>8</v>
      </c>
      <c r="J10" s="17">
        <f>Assumptions!B26</f>
        <v>8</v>
      </c>
      <c r="K10" s="17">
        <f>Assumptions!B26</f>
        <v>8</v>
      </c>
    </row>
    <row r="11" spans="1:11" x14ac:dyDescent="0.2">
      <c r="A11" t="s">
        <v>67</v>
      </c>
      <c r="B11" s="17">
        <f>Assumptions!B35</f>
        <v>44</v>
      </c>
      <c r="C11" s="17">
        <f>Assumptions!B35</f>
        <v>44</v>
      </c>
      <c r="D11" s="17">
        <f>Assumptions!B35</f>
        <v>44</v>
      </c>
      <c r="E11" s="17">
        <f>Assumptions!B35</f>
        <v>44</v>
      </c>
      <c r="F11" s="17">
        <f>Assumptions!B35</f>
        <v>44</v>
      </c>
      <c r="G11" s="17">
        <f>Assumptions!B35</f>
        <v>44</v>
      </c>
      <c r="H11" s="17">
        <f>Assumptions!B35</f>
        <v>44</v>
      </c>
      <c r="I11" s="17">
        <f>Assumptions!B35</f>
        <v>44</v>
      </c>
      <c r="J11" s="17">
        <f>Assumptions!B35</f>
        <v>44</v>
      </c>
      <c r="K11" s="17">
        <f>Assumptions!B35</f>
        <v>44</v>
      </c>
    </row>
    <row r="12" spans="1:11" x14ac:dyDescent="0.2">
      <c r="A12" t="s">
        <v>276</v>
      </c>
      <c r="B12" s="17">
        <f>B9*B10*B11</f>
        <v>23284.799999999996</v>
      </c>
      <c r="C12" s="17">
        <f>C9*C10*C11</f>
        <v>38808</v>
      </c>
      <c r="D12" s="17">
        <f>D9*D10*D11</f>
        <v>62092.799999999988</v>
      </c>
      <c r="E12" s="17">
        <f>E9*E10*E11</f>
        <v>77616</v>
      </c>
      <c r="F12" s="17">
        <f>F9*F10*F11</f>
        <v>100900.79999999999</v>
      </c>
      <c r="G12" s="17">
        <f>G9*G10*G11</f>
        <v>108662.39999999999</v>
      </c>
      <c r="H12" s="17">
        <f>H9*H10*H11</f>
        <v>116424</v>
      </c>
      <c r="I12" s="17">
        <f>I9*I10*I11</f>
        <v>124185.59999999998</v>
      </c>
      <c r="J12" s="17">
        <f>J9*J10*J11</f>
        <v>127290.24000000001</v>
      </c>
      <c r="K12" s="17">
        <f>K9*K10*K11</f>
        <v>131947.19999999998</v>
      </c>
    </row>
    <row r="13" spans="1:11" x14ac:dyDescent="0.2">
      <c r="A13" t="s">
        <v>49</v>
      </c>
      <c r="B13" s="18">
        <f>Assumptions!B27</f>
        <v>85</v>
      </c>
      <c r="C13" s="18">
        <f>B13*(1+Assumptions!B28)</f>
        <v>87.55</v>
      </c>
      <c r="D13" s="18">
        <f>C13*(1+Assumptions!B28)</f>
        <v>90.176500000000004</v>
      </c>
      <c r="E13" s="18">
        <f>D13*(1+Assumptions!B28)</f>
        <v>92.881795000000011</v>
      </c>
      <c r="F13" s="18">
        <f>E13*(1+Assumptions!B28)</f>
        <v>95.668248850000012</v>
      </c>
      <c r="G13" s="18">
        <f>F13*(1+Assumptions!B28)</f>
        <v>98.53829631550002</v>
      </c>
      <c r="H13" s="18">
        <f>G13*(1+Assumptions!B28)</f>
        <v>101.49444520496502</v>
      </c>
      <c r="I13" s="18">
        <f>H13*(1+Assumptions!B28)</f>
        <v>104.53927856111397</v>
      </c>
      <c r="J13" s="18">
        <f>I13*(1+Assumptions!B28)</f>
        <v>107.6754569179474</v>
      </c>
      <c r="K13" s="18">
        <f>J13*(1+Assumptions!B28)</f>
        <v>110.90572062548583</v>
      </c>
    </row>
    <row r="14" spans="1:11" x14ac:dyDescent="0.2">
      <c r="A14" t="s">
        <v>277</v>
      </c>
      <c r="B14" s="18">
        <f>B12*B13</f>
        <v>1979207.9999999995</v>
      </c>
      <c r="C14" s="18">
        <f>C12*C13</f>
        <v>3397640.4</v>
      </c>
      <c r="D14" s="18">
        <f>D12*D13</f>
        <v>5599311.3791999994</v>
      </c>
      <c r="E14" s="18">
        <f>E12*E13</f>
        <v>7209113.4007200012</v>
      </c>
      <c r="F14" s="18">
        <f>F12*F13</f>
        <v>9653002.8435640801</v>
      </c>
      <c r="G14" s="18">
        <f>G12*G13</f>
        <v>10707407.769553389</v>
      </c>
      <c r="H14" s="18">
        <f>H12*H13</f>
        <v>11816389.288542848</v>
      </c>
      <c r="I14" s="18">
        <f>I12*I13</f>
        <v>12982273.031679073</v>
      </c>
      <c r="J14" s="18">
        <f>J12*J13</f>
        <v>13706034.753195185</v>
      </c>
      <c r="K14" s="18">
        <f>K12*K13</f>
        <v>14633699.300515102</v>
      </c>
    </row>
    <row r="15" spans="1:11" x14ac:dyDescent="0.2">
      <c r="A15" t="s">
        <v>54</v>
      </c>
      <c r="B15" s="19">
        <f>Assumptions!B29</f>
        <v>0.12</v>
      </c>
      <c r="C15" s="19">
        <f>Assumptions!B29</f>
        <v>0.12</v>
      </c>
      <c r="D15" s="19">
        <f>Assumptions!B29</f>
        <v>0.12</v>
      </c>
      <c r="E15" s="19">
        <f>Assumptions!B29</f>
        <v>0.12</v>
      </c>
      <c r="F15" s="19">
        <f>Assumptions!B29</f>
        <v>0.12</v>
      </c>
      <c r="G15" s="19">
        <f>Assumptions!B29</f>
        <v>0.12</v>
      </c>
      <c r="H15" s="19">
        <f>Assumptions!B29</f>
        <v>0.12</v>
      </c>
      <c r="I15" s="19">
        <f>Assumptions!B29</f>
        <v>0.12</v>
      </c>
      <c r="J15" s="19">
        <f>Assumptions!B29</f>
        <v>0.12</v>
      </c>
      <c r="K15" s="19">
        <f>Assumptions!B29</f>
        <v>0.12</v>
      </c>
    </row>
    <row r="16" spans="1:11" x14ac:dyDescent="0.2">
      <c r="A16" t="s">
        <v>278</v>
      </c>
      <c r="B16" s="18">
        <f>B14*B15</f>
        <v>237504.95999999993</v>
      </c>
      <c r="C16" s="18">
        <f>C14*C15</f>
        <v>407716.848</v>
      </c>
      <c r="D16" s="18">
        <f>D14*D15</f>
        <v>671917.36550399987</v>
      </c>
      <c r="E16" s="18">
        <f>E14*E15</f>
        <v>865093.60808640008</v>
      </c>
      <c r="F16" s="18">
        <f>F14*F15</f>
        <v>1158360.3412276895</v>
      </c>
      <c r="G16" s="18">
        <f>G14*G15</f>
        <v>1284888.9323464066</v>
      </c>
      <c r="H16" s="18">
        <f>H14*H15</f>
        <v>1417966.7146251418</v>
      </c>
      <c r="I16" s="18">
        <f>I14*I15</f>
        <v>1557872.7638014888</v>
      </c>
      <c r="J16" s="18">
        <f>J14*J15</f>
        <v>1644724.1703834222</v>
      </c>
      <c r="K16" s="18">
        <f>K14*K15</f>
        <v>1756043.9160618123</v>
      </c>
    </row>
    <row r="17" spans="1:11" x14ac:dyDescent="0.2">
      <c r="A17" t="s">
        <v>279</v>
      </c>
      <c r="B17" s="10">
        <v>0.2</v>
      </c>
      <c r="C17" s="10">
        <v>0.25</v>
      </c>
      <c r="D17" s="10">
        <v>0.3</v>
      </c>
      <c r="E17" s="10">
        <v>0.35</v>
      </c>
      <c r="F17" s="10">
        <v>0.4</v>
      </c>
      <c r="G17" s="10">
        <v>0.42</v>
      </c>
      <c r="H17" s="10">
        <v>0.45</v>
      </c>
      <c r="I17" s="10">
        <v>0.47</v>
      </c>
      <c r="J17" s="10">
        <v>0.48</v>
      </c>
      <c r="K17" s="10">
        <v>0.5</v>
      </c>
    </row>
    <row r="18" spans="1:11" x14ac:dyDescent="0.2">
      <c r="A18" t="s">
        <v>280</v>
      </c>
      <c r="B18" s="18">
        <f>B9*B17*Assumptions!B30*12</f>
        <v>15717.239999999998</v>
      </c>
      <c r="C18" s="18">
        <f>C9*C17*Assumptions!B30*12</f>
        <v>32744.25</v>
      </c>
      <c r="D18" s="18">
        <f>D9*D17*Assumptions!B30*12</f>
        <v>62868.959999999992</v>
      </c>
      <c r="E18" s="18">
        <f>E9*E17*Assumptions!B30*12</f>
        <v>91683.9</v>
      </c>
      <c r="F18" s="18">
        <f>F9*F17*Assumptions!B30*12</f>
        <v>136216.08000000002</v>
      </c>
      <c r="G18" s="18">
        <f>G9*G17*Assumptions!B30*12</f>
        <v>154028.95199999999</v>
      </c>
      <c r="H18" s="18">
        <f>H9*H17*Assumptions!B30*12</f>
        <v>176818.95</v>
      </c>
      <c r="I18" s="18">
        <f>I9*I17*Assumptions!B30*12</f>
        <v>196989.40799999994</v>
      </c>
      <c r="J18" s="18">
        <f>J9*J17*Assumptions!B30*12</f>
        <v>206210.18879999997</v>
      </c>
      <c r="K18" s="18">
        <f>K9*K17*Assumptions!B30*12</f>
        <v>222660.89999999997</v>
      </c>
    </row>
    <row r="19" spans="1:11" x14ac:dyDescent="0.2">
      <c r="A19" t="s">
        <v>281</v>
      </c>
      <c r="B19" s="18">
        <f>B16*Assumptions!B34</f>
        <v>11875.247999999998</v>
      </c>
      <c r="C19" s="18">
        <f>C16*Assumptions!B34</f>
        <v>20385.842400000001</v>
      </c>
      <c r="D19" s="18">
        <f>D16*Assumptions!B34</f>
        <v>33595.868275199995</v>
      </c>
      <c r="E19" s="18">
        <f>E16*Assumptions!B34</f>
        <v>43254.68040432001</v>
      </c>
      <c r="F19" s="18">
        <f>F16*Assumptions!B34</f>
        <v>57918.017061384482</v>
      </c>
      <c r="G19" s="18">
        <f>G16*Assumptions!B34</f>
        <v>64244.446617320333</v>
      </c>
      <c r="H19" s="18">
        <f>H16*Assumptions!B34</f>
        <v>70898.335731257088</v>
      </c>
      <c r="I19" s="18">
        <f>I16*Assumptions!B34</f>
        <v>77893.638190074445</v>
      </c>
      <c r="J19" s="18">
        <f>J16*Assumptions!B34</f>
        <v>82236.208519171108</v>
      </c>
      <c r="K19" s="18">
        <f>K16*Assumptions!B34</f>
        <v>87802.195803090624</v>
      </c>
    </row>
    <row r="20" spans="1:11" ht="17" thickBot="1" x14ac:dyDescent="0.25">
      <c r="A20" s="23" t="s">
        <v>282</v>
      </c>
      <c r="B20" s="24">
        <f>B16+B18+B19</f>
        <v>265097.44799999992</v>
      </c>
      <c r="C20" s="24">
        <f>C16+C18+C19</f>
        <v>460846.94040000002</v>
      </c>
      <c r="D20" s="24">
        <f>D16+D18+D19</f>
        <v>768382.19377919985</v>
      </c>
      <c r="E20" s="24">
        <f>E16+E18+E19</f>
        <v>1000032.1884907201</v>
      </c>
      <c r="F20" s="24">
        <f>F16+F18+F19</f>
        <v>1352494.438289074</v>
      </c>
      <c r="G20" s="24">
        <f>G16+G18+G19</f>
        <v>1503162.3309637271</v>
      </c>
      <c r="H20" s="24">
        <f>H16+H18+H19</f>
        <v>1665684.0003563988</v>
      </c>
      <c r="I20" s="24">
        <f>I16+I18+I19</f>
        <v>1832755.8099915632</v>
      </c>
      <c r="J20" s="24">
        <f>J16+J18+J19</f>
        <v>1933170.5677025933</v>
      </c>
      <c r="K20" s="24">
        <f>K16+K18+K19</f>
        <v>2066507.0118649029</v>
      </c>
    </row>
    <row r="21" spans="1:11" ht="17" thickTop="1" x14ac:dyDescent="0.2"/>
    <row r="22" spans="1:11" x14ac:dyDescent="0.2">
      <c r="A22" s="25" t="s">
        <v>283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1" x14ac:dyDescent="0.2">
      <c r="A23" t="s">
        <v>284</v>
      </c>
      <c r="B23" s="9">
        <v>10</v>
      </c>
      <c r="C23" s="9">
        <v>18</v>
      </c>
      <c r="D23" s="9">
        <v>30</v>
      </c>
      <c r="E23" s="9">
        <v>38</v>
      </c>
      <c r="F23" s="9">
        <v>50</v>
      </c>
      <c r="G23" s="9">
        <v>55</v>
      </c>
      <c r="H23" s="9">
        <v>60</v>
      </c>
      <c r="I23" s="9">
        <v>65</v>
      </c>
      <c r="J23" s="9">
        <v>68</v>
      </c>
      <c r="K23" s="9">
        <v>70</v>
      </c>
    </row>
    <row r="24" spans="1:11" x14ac:dyDescent="0.2">
      <c r="A24" t="s">
        <v>77</v>
      </c>
      <c r="B24" s="17">
        <f>Assumptions!B42</f>
        <v>50000</v>
      </c>
      <c r="C24" s="17">
        <f>Assumptions!B42</f>
        <v>50000</v>
      </c>
      <c r="D24" s="17">
        <f>Assumptions!B42</f>
        <v>50000</v>
      </c>
      <c r="E24" s="17">
        <f>Assumptions!B42</f>
        <v>50000</v>
      </c>
      <c r="F24" s="17">
        <f>Assumptions!B42</f>
        <v>50000</v>
      </c>
      <c r="G24" s="17">
        <f>Assumptions!B42</f>
        <v>50000</v>
      </c>
      <c r="H24" s="17">
        <f>Assumptions!B42</f>
        <v>50000</v>
      </c>
      <c r="I24" s="17">
        <f>Assumptions!B42</f>
        <v>50000</v>
      </c>
      <c r="J24" s="17">
        <f>Assumptions!B42</f>
        <v>50000</v>
      </c>
      <c r="K24" s="17">
        <f>Assumptions!B42</f>
        <v>50000</v>
      </c>
    </row>
    <row r="25" spans="1:11" x14ac:dyDescent="0.2">
      <c r="A25" t="s">
        <v>285</v>
      </c>
      <c r="B25" s="17">
        <f>B23*B24</f>
        <v>500000</v>
      </c>
      <c r="C25" s="17">
        <f>C23*C24</f>
        <v>900000</v>
      </c>
      <c r="D25" s="17">
        <f>D23*D24</f>
        <v>1500000</v>
      </c>
      <c r="E25" s="17">
        <f>E23*E24</f>
        <v>1900000</v>
      </c>
      <c r="F25" s="17">
        <f>F23*F24</f>
        <v>2500000</v>
      </c>
      <c r="G25" s="17">
        <f>G23*G24</f>
        <v>2750000</v>
      </c>
      <c r="H25" s="17">
        <f>H23*H24</f>
        <v>3000000</v>
      </c>
      <c r="I25" s="17">
        <f>I23*I24</f>
        <v>3250000</v>
      </c>
      <c r="J25" s="17">
        <f>J23*J24</f>
        <v>3400000</v>
      </c>
      <c r="K25" s="17">
        <f>K23*K24</f>
        <v>3500000</v>
      </c>
    </row>
    <row r="26" spans="1:11" x14ac:dyDescent="0.2">
      <c r="A26" t="s">
        <v>79</v>
      </c>
      <c r="B26" s="19">
        <f>Assumptions!B43</f>
        <v>0.04</v>
      </c>
      <c r="C26" s="19">
        <f>Assumptions!B43</f>
        <v>0.04</v>
      </c>
      <c r="D26" s="19">
        <f>Assumptions!B43</f>
        <v>0.04</v>
      </c>
      <c r="E26" s="19">
        <f>Assumptions!B43</f>
        <v>0.04</v>
      </c>
      <c r="F26" s="19">
        <f>Assumptions!B43</f>
        <v>0.04</v>
      </c>
      <c r="G26" s="19">
        <f>Assumptions!B43</f>
        <v>0.04</v>
      </c>
      <c r="H26" s="19">
        <f>Assumptions!B43</f>
        <v>0.04</v>
      </c>
      <c r="I26" s="19">
        <f>Assumptions!B43</f>
        <v>0.04</v>
      </c>
      <c r="J26" s="19">
        <f>Assumptions!B43</f>
        <v>0.04</v>
      </c>
      <c r="K26" s="19">
        <f>Assumptions!B43</f>
        <v>0.04</v>
      </c>
    </row>
    <row r="27" spans="1:11" x14ac:dyDescent="0.2">
      <c r="A27" t="s">
        <v>286</v>
      </c>
      <c r="B27" s="17">
        <f>B25*B26</f>
        <v>20000</v>
      </c>
      <c r="C27" s="17">
        <f>C25*C26</f>
        <v>36000</v>
      </c>
      <c r="D27" s="17">
        <f>D25*D26</f>
        <v>60000</v>
      </c>
      <c r="E27" s="17">
        <f>E25*E26</f>
        <v>76000</v>
      </c>
      <c r="F27" s="17">
        <f>F25*F26</f>
        <v>100000</v>
      </c>
      <c r="G27" s="17">
        <f>G25*G26</f>
        <v>110000</v>
      </c>
      <c r="H27" s="17">
        <f>H25*H26</f>
        <v>120000</v>
      </c>
      <c r="I27" s="17">
        <f>I25*I26</f>
        <v>130000</v>
      </c>
      <c r="J27" s="17">
        <f>J25*J26</f>
        <v>136000</v>
      </c>
      <c r="K27" s="17">
        <f>K25*K26</f>
        <v>140000</v>
      </c>
    </row>
    <row r="28" spans="1:11" x14ac:dyDescent="0.2">
      <c r="A28" t="s">
        <v>287</v>
      </c>
      <c r="B28" s="19">
        <f>Assumptions!B44</f>
        <v>0.02</v>
      </c>
      <c r="C28" s="19">
        <f>Assumptions!B44</f>
        <v>0.02</v>
      </c>
      <c r="D28" s="19">
        <f>Assumptions!B44</f>
        <v>0.02</v>
      </c>
      <c r="E28" s="19">
        <f>Assumptions!B44</f>
        <v>0.02</v>
      </c>
      <c r="F28" s="19">
        <f>Assumptions!B44</f>
        <v>0.02</v>
      </c>
      <c r="G28" s="19">
        <f>Assumptions!B44</f>
        <v>0.02</v>
      </c>
      <c r="H28" s="19">
        <f>Assumptions!B44</f>
        <v>0.02</v>
      </c>
      <c r="I28" s="19">
        <f>Assumptions!B44</f>
        <v>0.02</v>
      </c>
      <c r="J28" s="19">
        <f>Assumptions!B44</f>
        <v>0.02</v>
      </c>
      <c r="K28" s="19">
        <f>Assumptions!B44</f>
        <v>0.02</v>
      </c>
    </row>
    <row r="29" spans="1:11" x14ac:dyDescent="0.2">
      <c r="A29" t="s">
        <v>288</v>
      </c>
      <c r="B29" s="17">
        <f>B27*B28</f>
        <v>400</v>
      </c>
      <c r="C29" s="17">
        <f>C27*C28</f>
        <v>720</v>
      </c>
      <c r="D29" s="17">
        <f>D27*D28</f>
        <v>1200</v>
      </c>
      <c r="E29" s="17">
        <f>E27*E28</f>
        <v>1520</v>
      </c>
      <c r="F29" s="17">
        <f>F27*F28</f>
        <v>2000</v>
      </c>
      <c r="G29" s="17">
        <f>G27*G28</f>
        <v>2200</v>
      </c>
      <c r="H29" s="17">
        <f>H27*H28</f>
        <v>2400</v>
      </c>
      <c r="I29" s="17">
        <f>I27*I28</f>
        <v>2600</v>
      </c>
      <c r="J29" s="17">
        <f>J27*J28</f>
        <v>2720</v>
      </c>
      <c r="K29" s="17">
        <f>K27*K28</f>
        <v>2800</v>
      </c>
    </row>
    <row r="30" spans="1:11" x14ac:dyDescent="0.2">
      <c r="A30" t="s">
        <v>289</v>
      </c>
      <c r="B30" s="19">
        <f>Assumptions!B45</f>
        <v>0.08</v>
      </c>
      <c r="C30" s="19">
        <f>Assumptions!B45</f>
        <v>0.08</v>
      </c>
      <c r="D30" s="19">
        <f>Assumptions!B45</f>
        <v>0.08</v>
      </c>
      <c r="E30" s="19">
        <f>Assumptions!B45</f>
        <v>0.08</v>
      </c>
      <c r="F30" s="19">
        <f>Assumptions!B45</f>
        <v>0.08</v>
      </c>
      <c r="G30" s="19">
        <f>Assumptions!B45</f>
        <v>0.08</v>
      </c>
      <c r="H30" s="19">
        <f>Assumptions!B45</f>
        <v>0.08</v>
      </c>
      <c r="I30" s="19">
        <f>Assumptions!B45</f>
        <v>0.08</v>
      </c>
      <c r="J30" s="19">
        <f>Assumptions!B45</f>
        <v>0.08</v>
      </c>
      <c r="K30" s="19">
        <f>Assumptions!B45</f>
        <v>0.08</v>
      </c>
    </row>
    <row r="31" spans="1:11" x14ac:dyDescent="0.2">
      <c r="A31" t="s">
        <v>290</v>
      </c>
      <c r="B31" s="17">
        <f>B29*B30</f>
        <v>32</v>
      </c>
      <c r="C31" s="17">
        <f>C29*C30</f>
        <v>57.6</v>
      </c>
      <c r="D31" s="17">
        <f>D29*D30</f>
        <v>96</v>
      </c>
      <c r="E31" s="17">
        <f>E29*E30</f>
        <v>121.60000000000001</v>
      </c>
      <c r="F31" s="17">
        <f>F29*F30</f>
        <v>160</v>
      </c>
      <c r="G31" s="17">
        <f>G29*G30</f>
        <v>176</v>
      </c>
      <c r="H31" s="17">
        <f>H29*H30</f>
        <v>192</v>
      </c>
      <c r="I31" s="17">
        <f>I29*I30</f>
        <v>208</v>
      </c>
      <c r="J31" s="17">
        <f>J29*J30</f>
        <v>217.6</v>
      </c>
      <c r="K31" s="17">
        <f>K29*K30</f>
        <v>224</v>
      </c>
    </row>
    <row r="32" spans="1:11" x14ac:dyDescent="0.2">
      <c r="A32" t="s">
        <v>291</v>
      </c>
      <c r="B32" s="19">
        <f>Assumptions!B46</f>
        <v>0.25</v>
      </c>
      <c r="C32" s="19">
        <f>Assumptions!B46</f>
        <v>0.25</v>
      </c>
      <c r="D32" s="19">
        <f>Assumptions!B46</f>
        <v>0.25</v>
      </c>
      <c r="E32" s="19">
        <f>Assumptions!B46</f>
        <v>0.25</v>
      </c>
      <c r="F32" s="19">
        <f>Assumptions!B46</f>
        <v>0.25</v>
      </c>
      <c r="G32" s="19">
        <f>Assumptions!B46</f>
        <v>0.25</v>
      </c>
      <c r="H32" s="19">
        <f>Assumptions!B46</f>
        <v>0.25</v>
      </c>
      <c r="I32" s="19">
        <f>Assumptions!B46</f>
        <v>0.25</v>
      </c>
      <c r="J32" s="19">
        <f>Assumptions!B46</f>
        <v>0.25</v>
      </c>
      <c r="K32" s="19">
        <f>Assumptions!B46</f>
        <v>0.25</v>
      </c>
    </row>
    <row r="33" spans="1:11" x14ac:dyDescent="0.2">
      <c r="A33" t="s">
        <v>292</v>
      </c>
      <c r="B33" s="17">
        <f>B31*B32</f>
        <v>8</v>
      </c>
      <c r="C33" s="17">
        <f>C31*C32</f>
        <v>14.4</v>
      </c>
      <c r="D33" s="17">
        <f>D31*D32</f>
        <v>24</v>
      </c>
      <c r="E33" s="17">
        <f>E31*E32</f>
        <v>30.400000000000002</v>
      </c>
      <c r="F33" s="17">
        <f>F31*F32</f>
        <v>40</v>
      </c>
      <c r="G33" s="17">
        <f>G31*G32</f>
        <v>44</v>
      </c>
      <c r="H33" s="17">
        <f>H31*H32</f>
        <v>48</v>
      </c>
      <c r="I33" s="17">
        <f>I31*I32</f>
        <v>52</v>
      </c>
      <c r="J33" s="17">
        <f>J31*J32</f>
        <v>54.4</v>
      </c>
      <c r="K33" s="17">
        <f>K31*K32</f>
        <v>56</v>
      </c>
    </row>
    <row r="34" spans="1:11" x14ac:dyDescent="0.2">
      <c r="A34" t="s">
        <v>293</v>
      </c>
      <c r="B34" s="17">
        <f>B33*12</f>
        <v>96</v>
      </c>
      <c r="C34" s="17">
        <f>C33*12</f>
        <v>172.8</v>
      </c>
      <c r="D34" s="17">
        <f>D33*12</f>
        <v>288</v>
      </c>
      <c r="E34" s="17">
        <f>E33*12</f>
        <v>364.8</v>
      </c>
      <c r="F34" s="17">
        <f>F33*12</f>
        <v>480</v>
      </c>
      <c r="G34" s="17">
        <f>G33*12</f>
        <v>528</v>
      </c>
      <c r="H34" s="17">
        <f>H33*12</f>
        <v>576</v>
      </c>
      <c r="I34" s="17">
        <f>I33*12</f>
        <v>624</v>
      </c>
      <c r="J34" s="17">
        <f>J33*12</f>
        <v>652.79999999999995</v>
      </c>
      <c r="K34" s="17">
        <f>K33*12</f>
        <v>672</v>
      </c>
    </row>
    <row r="35" spans="1:11" x14ac:dyDescent="0.2">
      <c r="A35" t="s">
        <v>294</v>
      </c>
      <c r="B35" s="18">
        <f>B13</f>
        <v>85</v>
      </c>
      <c r="C35" s="18">
        <f>C13</f>
        <v>87.55</v>
      </c>
      <c r="D35" s="18">
        <f>D13</f>
        <v>90.176500000000004</v>
      </c>
      <c r="E35" s="18">
        <f>E13</f>
        <v>92.881795000000011</v>
      </c>
      <c r="F35" s="18">
        <f>F13</f>
        <v>95.668248850000012</v>
      </c>
      <c r="G35" s="18">
        <f>G13</f>
        <v>98.53829631550002</v>
      </c>
      <c r="H35" s="18">
        <f>H13</f>
        <v>101.49444520496502</v>
      </c>
      <c r="I35" s="18">
        <f>I13</f>
        <v>104.53927856111397</v>
      </c>
      <c r="J35" s="18">
        <f>J13</f>
        <v>107.6754569179474</v>
      </c>
      <c r="K35" s="18">
        <f>K13</f>
        <v>110.90572062548583</v>
      </c>
    </row>
    <row r="36" spans="1:11" x14ac:dyDescent="0.2">
      <c r="A36" t="s">
        <v>295</v>
      </c>
      <c r="B36" s="18">
        <f>B34*B35*Assumptions!B29</f>
        <v>979.19999999999993</v>
      </c>
      <c r="C36" s="18">
        <f>C34*C35*Assumptions!B29</f>
        <v>1815.4368000000002</v>
      </c>
      <c r="D36" s="18">
        <f>D34*D35*Assumptions!B29</f>
        <v>3116.4998399999999</v>
      </c>
      <c r="E36" s="18">
        <f>E34*E35*Assumptions!B29</f>
        <v>4065.9934579200003</v>
      </c>
      <c r="F36" s="18">
        <f>F34*F35*Assumptions!B29</f>
        <v>5510.4911337600006</v>
      </c>
      <c r="G36" s="18">
        <f>G34*G35*Assumptions!B29</f>
        <v>6243.386454550081</v>
      </c>
      <c r="H36" s="18">
        <f>H34*H35*Assumptions!B29</f>
        <v>7015.2960525671815</v>
      </c>
      <c r="I36" s="18">
        <f>I34*I35*Assumptions!B29</f>
        <v>7827.9011786562141</v>
      </c>
      <c r="J36" s="18">
        <f>J34*J35*Assumptions!B29</f>
        <v>8434.8645931243263</v>
      </c>
      <c r="K36" s="18">
        <f>K34*K35*Assumptions!B29</f>
        <v>8943.4373112391768</v>
      </c>
    </row>
    <row r="37" spans="1:11" x14ac:dyDescent="0.2">
      <c r="A37" t="s">
        <v>296</v>
      </c>
      <c r="B37" s="11">
        <f>0</f>
        <v>0</v>
      </c>
      <c r="C37" s="11">
        <f>0</f>
        <v>0</v>
      </c>
      <c r="D37" s="11">
        <f>D23*2000</f>
        <v>60000</v>
      </c>
      <c r="E37" s="11">
        <f>E23*3000</f>
        <v>114000</v>
      </c>
      <c r="F37" s="11">
        <f>F23*4000</f>
        <v>200000</v>
      </c>
      <c r="G37" s="11">
        <f>G23*5000</f>
        <v>275000</v>
      </c>
      <c r="H37" s="11">
        <f>H23*6000</f>
        <v>360000</v>
      </c>
      <c r="I37" s="11">
        <f>I23*7000</f>
        <v>455000</v>
      </c>
      <c r="J37" s="11">
        <f>J23*8000</f>
        <v>544000</v>
      </c>
      <c r="K37" s="11">
        <f>K23*10000</f>
        <v>700000</v>
      </c>
    </row>
    <row r="38" spans="1:11" ht="17" thickBot="1" x14ac:dyDescent="0.25">
      <c r="A38" s="23" t="s">
        <v>297</v>
      </c>
      <c r="B38" s="24">
        <f>B36+B37</f>
        <v>979.19999999999993</v>
      </c>
      <c r="C38" s="24">
        <f>C36+C37</f>
        <v>1815.4368000000002</v>
      </c>
      <c r="D38" s="24">
        <f>D36+D37</f>
        <v>63116.499839999997</v>
      </c>
      <c r="E38" s="24">
        <f>E36+E37</f>
        <v>118065.99345792001</v>
      </c>
      <c r="F38" s="24">
        <f>F36+F37</f>
        <v>205510.49113375999</v>
      </c>
      <c r="G38" s="24">
        <f>G36+G37</f>
        <v>281243.38645455008</v>
      </c>
      <c r="H38" s="24">
        <f>H36+H37</f>
        <v>367015.2960525672</v>
      </c>
      <c r="I38" s="24">
        <f>I36+I37</f>
        <v>462827.9011786562</v>
      </c>
      <c r="J38" s="24">
        <f>J36+J37</f>
        <v>552434.86459312437</v>
      </c>
      <c r="K38" s="24">
        <f>K36+K37</f>
        <v>708943.43731123919</v>
      </c>
    </row>
    <row r="39" spans="1:11" ht="17" thickTop="1" x14ac:dyDescent="0.2"/>
    <row r="40" spans="1:11" x14ac:dyDescent="0.2">
      <c r="A40" s="27" t="s">
        <v>298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</row>
    <row r="41" spans="1:11" x14ac:dyDescent="0.2">
      <c r="A41" t="s">
        <v>299</v>
      </c>
      <c r="B41" s="9">
        <v>2</v>
      </c>
      <c r="C41" s="9">
        <v>3</v>
      </c>
      <c r="D41" s="9">
        <v>5</v>
      </c>
      <c r="E41" s="9">
        <v>6</v>
      </c>
      <c r="F41" s="9">
        <v>8</v>
      </c>
      <c r="G41" s="9">
        <v>8</v>
      </c>
      <c r="H41" s="9">
        <v>8</v>
      </c>
      <c r="I41" s="9">
        <v>8</v>
      </c>
      <c r="J41" s="9">
        <v>8</v>
      </c>
      <c r="K41" s="9">
        <v>8</v>
      </c>
    </row>
    <row r="42" spans="1:11" x14ac:dyDescent="0.2">
      <c r="A42" t="s">
        <v>300</v>
      </c>
      <c r="B42" s="17">
        <f>Assumptions!B57</f>
        <v>500000</v>
      </c>
      <c r="C42" s="17">
        <f>Assumptions!B57</f>
        <v>500000</v>
      </c>
      <c r="D42" s="17">
        <f>Assumptions!B57</f>
        <v>500000</v>
      </c>
      <c r="E42" s="17">
        <f>Assumptions!B57</f>
        <v>500000</v>
      </c>
      <c r="F42" s="17">
        <f>Assumptions!B57</f>
        <v>500000</v>
      </c>
      <c r="G42" s="17">
        <f>Assumptions!B57</f>
        <v>500000</v>
      </c>
      <c r="H42" s="17">
        <f>Assumptions!B57</f>
        <v>500000</v>
      </c>
      <c r="I42" s="17">
        <f>Assumptions!B57</f>
        <v>500000</v>
      </c>
      <c r="J42" s="17">
        <f>Assumptions!B57</f>
        <v>500000</v>
      </c>
      <c r="K42" s="17">
        <f>Assumptions!B57</f>
        <v>500000</v>
      </c>
    </row>
    <row r="43" spans="1:11" x14ac:dyDescent="0.2">
      <c r="A43" t="s">
        <v>301</v>
      </c>
      <c r="B43" s="17">
        <f>B41*B42</f>
        <v>1000000</v>
      </c>
      <c r="C43" s="17">
        <f>C41*C42</f>
        <v>1500000</v>
      </c>
      <c r="D43" s="17">
        <f>D41*D42</f>
        <v>2500000</v>
      </c>
      <c r="E43" s="17">
        <f>E41*E42</f>
        <v>3000000</v>
      </c>
      <c r="F43" s="17">
        <f>F41*F42</f>
        <v>4000000</v>
      </c>
      <c r="G43" s="17">
        <f>G41*G42</f>
        <v>4000000</v>
      </c>
      <c r="H43" s="17">
        <f>H41*H42</f>
        <v>4000000</v>
      </c>
      <c r="I43" s="17">
        <f>I41*I42</f>
        <v>4000000</v>
      </c>
      <c r="J43" s="17">
        <f>J41*J42</f>
        <v>4000000</v>
      </c>
      <c r="K43" s="17">
        <f>K41*K42</f>
        <v>4000000</v>
      </c>
    </row>
    <row r="44" spans="1:11" x14ac:dyDescent="0.2">
      <c r="A44" t="s">
        <v>302</v>
      </c>
      <c r="B44" s="19">
        <f>Assumptions!B58</f>
        <v>0.3</v>
      </c>
      <c r="C44" s="19">
        <f>Assumptions!B58</f>
        <v>0.3</v>
      </c>
      <c r="D44" s="19">
        <f>Assumptions!B58</f>
        <v>0.3</v>
      </c>
      <c r="E44" s="19">
        <f>Assumptions!B58</f>
        <v>0.3</v>
      </c>
      <c r="F44" s="19">
        <f>Assumptions!B58</f>
        <v>0.3</v>
      </c>
      <c r="G44" s="19">
        <f>Assumptions!B58</f>
        <v>0.3</v>
      </c>
      <c r="H44" s="19">
        <f>Assumptions!B58</f>
        <v>0.3</v>
      </c>
      <c r="I44" s="19">
        <f>Assumptions!B58</f>
        <v>0.3</v>
      </c>
      <c r="J44" s="19">
        <f>Assumptions!B58</f>
        <v>0.3</v>
      </c>
      <c r="K44" s="19">
        <f>Assumptions!B58</f>
        <v>0.3</v>
      </c>
    </row>
    <row r="45" spans="1:11" x14ac:dyDescent="0.2">
      <c r="A45" t="s">
        <v>303</v>
      </c>
      <c r="B45" s="17">
        <f>B43*B44</f>
        <v>300000</v>
      </c>
      <c r="C45" s="17">
        <f>C43*C44</f>
        <v>450000</v>
      </c>
      <c r="D45" s="17">
        <f>D43*D44</f>
        <v>750000</v>
      </c>
      <c r="E45" s="17">
        <f>E43*E44</f>
        <v>900000</v>
      </c>
      <c r="F45" s="17">
        <f>F43*F44</f>
        <v>1200000</v>
      </c>
      <c r="G45" s="17">
        <f>G43*G44</f>
        <v>1200000</v>
      </c>
      <c r="H45" s="17">
        <f>H43*H44</f>
        <v>1200000</v>
      </c>
      <c r="I45" s="17">
        <f>I43*I44</f>
        <v>1200000</v>
      </c>
      <c r="J45" s="17">
        <f>J43*J44</f>
        <v>1200000</v>
      </c>
      <c r="K45" s="17">
        <f>K43*K44</f>
        <v>1200000</v>
      </c>
    </row>
    <row r="46" spans="1:11" x14ac:dyDescent="0.2">
      <c r="A46" t="s">
        <v>304</v>
      </c>
      <c r="B46" s="19">
        <f>Assumptions!B59</f>
        <v>0.02</v>
      </c>
      <c r="C46" s="19">
        <f>Assumptions!B59</f>
        <v>0.02</v>
      </c>
      <c r="D46" s="19">
        <f>Assumptions!B59</f>
        <v>0.02</v>
      </c>
      <c r="E46" s="19">
        <f>Assumptions!B59</f>
        <v>0.02</v>
      </c>
      <c r="F46" s="19">
        <f>Assumptions!B59</f>
        <v>0.02</v>
      </c>
      <c r="G46" s="19">
        <f>Assumptions!B59</f>
        <v>0.02</v>
      </c>
      <c r="H46" s="19">
        <f>Assumptions!B59</f>
        <v>0.02</v>
      </c>
      <c r="I46" s="19">
        <f>Assumptions!B59</f>
        <v>0.02</v>
      </c>
      <c r="J46" s="19">
        <f>Assumptions!B59</f>
        <v>0.02</v>
      </c>
      <c r="K46" s="19">
        <f>Assumptions!B59</f>
        <v>0.02</v>
      </c>
    </row>
    <row r="47" spans="1:11" x14ac:dyDescent="0.2">
      <c r="A47" t="s">
        <v>305</v>
      </c>
      <c r="B47" s="17">
        <f>B45*B46</f>
        <v>6000</v>
      </c>
      <c r="C47" s="17">
        <f>C45*C46</f>
        <v>9000</v>
      </c>
      <c r="D47" s="17">
        <f>D45*D46</f>
        <v>15000</v>
      </c>
      <c r="E47" s="17">
        <f>E45*E46</f>
        <v>18000</v>
      </c>
      <c r="F47" s="17">
        <f>F45*F46</f>
        <v>24000</v>
      </c>
      <c r="G47" s="17">
        <f>G45*G46</f>
        <v>24000</v>
      </c>
      <c r="H47" s="17">
        <f>H45*H46</f>
        <v>24000</v>
      </c>
      <c r="I47" s="17">
        <f>I45*I46</f>
        <v>24000</v>
      </c>
      <c r="J47" s="17">
        <f>J45*J46</f>
        <v>24000</v>
      </c>
      <c r="K47" s="17">
        <f>K45*K46</f>
        <v>24000</v>
      </c>
    </row>
    <row r="48" spans="1:11" x14ac:dyDescent="0.2">
      <c r="A48" t="s">
        <v>108</v>
      </c>
      <c r="B48" s="19">
        <f>Assumptions!B60</f>
        <v>0.4</v>
      </c>
      <c r="C48" s="19">
        <f>Assumptions!B60</f>
        <v>0.4</v>
      </c>
      <c r="D48" s="19">
        <f>Assumptions!B60</f>
        <v>0.4</v>
      </c>
      <c r="E48" s="19">
        <f>Assumptions!B60</f>
        <v>0.4</v>
      </c>
      <c r="F48" s="19">
        <f>Assumptions!B60</f>
        <v>0.4</v>
      </c>
      <c r="G48" s="19">
        <f>Assumptions!B60</f>
        <v>0.4</v>
      </c>
      <c r="H48" s="19">
        <f>Assumptions!B60</f>
        <v>0.4</v>
      </c>
      <c r="I48" s="19">
        <f>Assumptions!B60</f>
        <v>0.4</v>
      </c>
      <c r="J48" s="19">
        <f>Assumptions!B60</f>
        <v>0.4</v>
      </c>
      <c r="K48" s="19">
        <f>Assumptions!B60</f>
        <v>0.4</v>
      </c>
    </row>
    <row r="49" spans="1:11" x14ac:dyDescent="0.2">
      <c r="A49" t="s">
        <v>306</v>
      </c>
      <c r="B49" s="17">
        <f>B47*B48</f>
        <v>2400</v>
      </c>
      <c r="C49" s="17">
        <f>C47*C48</f>
        <v>3600</v>
      </c>
      <c r="D49" s="17">
        <f>D47*D48</f>
        <v>6000</v>
      </c>
      <c r="E49" s="17">
        <f>E47*E48</f>
        <v>7200</v>
      </c>
      <c r="F49" s="17">
        <f>F47*F48</f>
        <v>9600</v>
      </c>
      <c r="G49" s="17">
        <f>G47*G48</f>
        <v>9600</v>
      </c>
      <c r="H49" s="17">
        <f>H47*H48</f>
        <v>9600</v>
      </c>
      <c r="I49" s="17">
        <f>I47*I48</f>
        <v>9600</v>
      </c>
      <c r="J49" s="17">
        <f>J47*J48</f>
        <v>9600</v>
      </c>
      <c r="K49" s="17">
        <f>K47*K48</f>
        <v>9600</v>
      </c>
    </row>
    <row r="50" spans="1:11" x14ac:dyDescent="0.2">
      <c r="A50" t="s">
        <v>291</v>
      </c>
      <c r="B50" s="19">
        <f>Assumptions!B61</f>
        <v>0.05</v>
      </c>
      <c r="C50" s="19">
        <f>Assumptions!B61</f>
        <v>0.05</v>
      </c>
      <c r="D50" s="19">
        <f>Assumptions!B61</f>
        <v>0.05</v>
      </c>
      <c r="E50" s="19">
        <f>Assumptions!B61</f>
        <v>0.05</v>
      </c>
      <c r="F50" s="19">
        <f>Assumptions!B61</f>
        <v>0.05</v>
      </c>
      <c r="G50" s="19">
        <f>Assumptions!B61</f>
        <v>0.05</v>
      </c>
      <c r="H50" s="19">
        <f>Assumptions!B61</f>
        <v>0.05</v>
      </c>
      <c r="I50" s="19">
        <f>Assumptions!B61</f>
        <v>0.05</v>
      </c>
      <c r="J50" s="19">
        <f>Assumptions!B61</f>
        <v>0.05</v>
      </c>
      <c r="K50" s="19">
        <f>Assumptions!B61</f>
        <v>0.05</v>
      </c>
    </row>
    <row r="51" spans="1:11" x14ac:dyDescent="0.2">
      <c r="A51" t="s">
        <v>307</v>
      </c>
      <c r="B51" s="17">
        <f>B49*B50</f>
        <v>120</v>
      </c>
      <c r="C51" s="17">
        <f>C49*C50</f>
        <v>180</v>
      </c>
      <c r="D51" s="17">
        <f>D49*D50</f>
        <v>300</v>
      </c>
      <c r="E51" s="17">
        <f>E49*E50</f>
        <v>360</v>
      </c>
      <c r="F51" s="17">
        <f>F49*F50</f>
        <v>480</v>
      </c>
      <c r="G51" s="17">
        <f>G49*G50</f>
        <v>480</v>
      </c>
      <c r="H51" s="17">
        <f>H49*H50</f>
        <v>480</v>
      </c>
      <c r="I51" s="17">
        <f>I49*I50</f>
        <v>480</v>
      </c>
      <c r="J51" s="17">
        <f>J49*J50</f>
        <v>480</v>
      </c>
      <c r="K51" s="17">
        <f>K49*K50</f>
        <v>480</v>
      </c>
    </row>
    <row r="52" spans="1:11" x14ac:dyDescent="0.2">
      <c r="A52" t="s">
        <v>308</v>
      </c>
      <c r="B52" s="18">
        <f>B13</f>
        <v>85</v>
      </c>
      <c r="C52" s="18">
        <f>C13</f>
        <v>87.55</v>
      </c>
      <c r="D52" s="18">
        <f>D13</f>
        <v>90.176500000000004</v>
      </c>
      <c r="E52" s="18">
        <f>E13</f>
        <v>92.881795000000011</v>
      </c>
      <c r="F52" s="18">
        <f>F13</f>
        <v>95.668248850000012</v>
      </c>
      <c r="G52" s="18">
        <f>G13</f>
        <v>98.53829631550002</v>
      </c>
      <c r="H52" s="18">
        <f>H13</f>
        <v>101.49444520496502</v>
      </c>
      <c r="I52" s="18">
        <f>I13</f>
        <v>104.53927856111397</v>
      </c>
      <c r="J52" s="18">
        <f>J13</f>
        <v>107.6754569179474</v>
      </c>
      <c r="K52" s="18">
        <f>K13</f>
        <v>110.90572062548583</v>
      </c>
    </row>
    <row r="53" spans="1:11" x14ac:dyDescent="0.2">
      <c r="A53" t="s">
        <v>309</v>
      </c>
      <c r="B53" s="18">
        <f>B51*B52*Assumptions!B29</f>
        <v>1224</v>
      </c>
      <c r="C53" s="18">
        <f>C51*C52*Assumptions!B29</f>
        <v>1891.08</v>
      </c>
      <c r="D53" s="18">
        <f>D51*D52*Assumptions!B29</f>
        <v>3246.3539999999998</v>
      </c>
      <c r="E53" s="18">
        <f>E51*E52*Assumptions!B29</f>
        <v>4012.4935440000004</v>
      </c>
      <c r="F53" s="18">
        <f>F51*F52*Assumptions!B29</f>
        <v>5510.4911337600006</v>
      </c>
      <c r="G53" s="18">
        <f>G51*G52*Assumptions!B29</f>
        <v>5675.8058677728013</v>
      </c>
      <c r="H53" s="18">
        <f>H51*H52*Assumptions!B29</f>
        <v>5846.080043805985</v>
      </c>
      <c r="I53" s="18">
        <f>I51*I52*Assumptions!B29</f>
        <v>6021.4624451201653</v>
      </c>
      <c r="J53" s="18">
        <f>J51*J52*Assumptions!B29</f>
        <v>6202.1063184737695</v>
      </c>
      <c r="K53" s="18">
        <f>K51*K52*Assumptions!B29</f>
        <v>6388.1695080279833</v>
      </c>
    </row>
    <row r="54" spans="1:11" x14ac:dyDescent="0.2">
      <c r="A54" t="s">
        <v>310</v>
      </c>
      <c r="B54" s="18">
        <f>B41*Assumptions!B62</f>
        <v>50000</v>
      </c>
      <c r="C54" s="18">
        <f>C41*Assumptions!B62</f>
        <v>75000</v>
      </c>
      <c r="D54" s="18">
        <f>D41*Assumptions!B62</f>
        <v>125000</v>
      </c>
      <c r="E54" s="18">
        <f>E41*Assumptions!B62</f>
        <v>150000</v>
      </c>
      <c r="F54" s="18">
        <f>F41*Assumptions!B62</f>
        <v>200000</v>
      </c>
      <c r="G54" s="18">
        <f>G41*Assumptions!B62</f>
        <v>200000</v>
      </c>
      <c r="H54" s="18">
        <f>H41*Assumptions!B62</f>
        <v>200000</v>
      </c>
      <c r="I54" s="18">
        <f>I41*Assumptions!B62</f>
        <v>200000</v>
      </c>
      <c r="J54" s="18">
        <f>J41*Assumptions!B62</f>
        <v>200000</v>
      </c>
      <c r="K54" s="18">
        <f>K41*Assumptions!B62</f>
        <v>200000</v>
      </c>
    </row>
    <row r="55" spans="1:11" x14ac:dyDescent="0.2">
      <c r="A55" t="s">
        <v>311</v>
      </c>
      <c r="B55" s="18">
        <f>B41*Assumptions!B63</f>
        <v>80000</v>
      </c>
      <c r="C55" s="18">
        <f>C41*Assumptions!B63</f>
        <v>120000</v>
      </c>
      <c r="D55" s="18">
        <f>D41*Assumptions!B63</f>
        <v>200000</v>
      </c>
      <c r="E55" s="18">
        <f>E41*Assumptions!B63</f>
        <v>240000</v>
      </c>
      <c r="F55" s="18">
        <f>F41*Assumptions!B63</f>
        <v>320000</v>
      </c>
      <c r="G55" s="18">
        <f>G41*Assumptions!B63</f>
        <v>320000</v>
      </c>
      <c r="H55" s="18">
        <f>H41*Assumptions!B63</f>
        <v>320000</v>
      </c>
      <c r="I55" s="18">
        <f>I41*Assumptions!B63</f>
        <v>320000</v>
      </c>
      <c r="J55" s="18">
        <f>J41*Assumptions!B63</f>
        <v>320000</v>
      </c>
      <c r="K55" s="18">
        <f>K41*Assumptions!B63</f>
        <v>320000</v>
      </c>
    </row>
    <row r="56" spans="1:11" ht="17" thickBot="1" x14ac:dyDescent="0.25">
      <c r="A56" s="23" t="s">
        <v>312</v>
      </c>
      <c r="B56" s="24">
        <f>B53+B54+B55</f>
        <v>131224</v>
      </c>
      <c r="C56" s="24">
        <f>C53+C54+C55</f>
        <v>196891.08000000002</v>
      </c>
      <c r="D56" s="24">
        <f>D53+D54+D55</f>
        <v>328246.35399999999</v>
      </c>
      <c r="E56" s="24">
        <f>E53+E54+E55</f>
        <v>394012.49354399997</v>
      </c>
      <c r="F56" s="24">
        <f>F53+F54+F55</f>
        <v>525510.49113375996</v>
      </c>
      <c r="G56" s="24">
        <f>G53+G54+G55</f>
        <v>525675.80586777278</v>
      </c>
      <c r="H56" s="24">
        <f>H53+H54+H55</f>
        <v>525846.080043806</v>
      </c>
      <c r="I56" s="24">
        <f>I53+I54+I55</f>
        <v>526021.46244512009</v>
      </c>
      <c r="J56" s="24">
        <f>J53+J54+J55</f>
        <v>526202.10631847382</v>
      </c>
      <c r="K56" s="24">
        <f>K53+K54+K55</f>
        <v>526388.16950802796</v>
      </c>
    </row>
    <row r="57" spans="1:11" ht="17" thickTop="1" x14ac:dyDescent="0.2"/>
    <row r="58" spans="1:11" x14ac:dyDescent="0.2">
      <c r="A58" s="29" t="s">
        <v>313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</row>
    <row r="59" spans="1:11" x14ac:dyDescent="0.2">
      <c r="A59" t="s">
        <v>314</v>
      </c>
      <c r="B59" s="9">
        <v>5</v>
      </c>
      <c r="C59" s="9">
        <v>12</v>
      </c>
      <c r="D59" s="9">
        <v>20</v>
      </c>
      <c r="E59" s="9">
        <v>30</v>
      </c>
      <c r="F59" s="9">
        <v>45</v>
      </c>
      <c r="G59" s="9">
        <v>52</v>
      </c>
      <c r="H59" s="9">
        <v>58</v>
      </c>
      <c r="I59" s="9">
        <v>65</v>
      </c>
      <c r="J59" s="9">
        <v>72</v>
      </c>
      <c r="K59" s="9">
        <v>80</v>
      </c>
    </row>
    <row r="60" spans="1:11" x14ac:dyDescent="0.2">
      <c r="A60" t="s">
        <v>129</v>
      </c>
      <c r="B60" s="17">
        <f>Assumptions!B73</f>
        <v>4</v>
      </c>
      <c r="C60" s="17">
        <f>Assumptions!B73</f>
        <v>4</v>
      </c>
      <c r="D60" s="17">
        <f>Assumptions!B73</f>
        <v>4</v>
      </c>
      <c r="E60" s="17">
        <f>Assumptions!B73</f>
        <v>4</v>
      </c>
      <c r="F60" s="17">
        <f>Assumptions!B73</f>
        <v>4</v>
      </c>
      <c r="G60" s="17">
        <f>Assumptions!B73</f>
        <v>4</v>
      </c>
      <c r="H60" s="17">
        <f>Assumptions!B73</f>
        <v>4</v>
      </c>
      <c r="I60" s="17">
        <f>Assumptions!B73</f>
        <v>4</v>
      </c>
      <c r="J60" s="17">
        <f>Assumptions!B73</f>
        <v>4</v>
      </c>
      <c r="K60" s="17">
        <f>Assumptions!B73</f>
        <v>4</v>
      </c>
    </row>
    <row r="61" spans="1:11" x14ac:dyDescent="0.2">
      <c r="A61" t="s">
        <v>315</v>
      </c>
      <c r="B61" s="17">
        <f>B59*B60</f>
        <v>20</v>
      </c>
      <c r="C61" s="17">
        <f>C59*C60</f>
        <v>48</v>
      </c>
      <c r="D61" s="17">
        <f>D59*D60</f>
        <v>80</v>
      </c>
      <c r="E61" s="17">
        <f>E59*E60</f>
        <v>120</v>
      </c>
      <c r="F61" s="17">
        <f>F59*F60</f>
        <v>180</v>
      </c>
      <c r="G61" s="17">
        <f>G59*G60</f>
        <v>208</v>
      </c>
      <c r="H61" s="17">
        <f>H59*H60</f>
        <v>232</v>
      </c>
      <c r="I61" s="17">
        <f>I59*I60</f>
        <v>260</v>
      </c>
      <c r="J61" s="17">
        <f>J59*J60</f>
        <v>288</v>
      </c>
      <c r="K61" s="17">
        <f>K59*K60</f>
        <v>320</v>
      </c>
    </row>
    <row r="62" spans="1:11" x14ac:dyDescent="0.2">
      <c r="A62" t="s">
        <v>132</v>
      </c>
      <c r="B62" s="18">
        <f>Assumptions!B74</f>
        <v>8000</v>
      </c>
      <c r="C62" s="18">
        <f>Assumptions!B74</f>
        <v>8000</v>
      </c>
      <c r="D62" s="18">
        <f>Assumptions!B74</f>
        <v>8000</v>
      </c>
      <c r="E62" s="18">
        <f>Assumptions!B74</f>
        <v>8000</v>
      </c>
      <c r="F62" s="18">
        <f>Assumptions!B74</f>
        <v>8000</v>
      </c>
      <c r="G62" s="18">
        <f>Assumptions!B74</f>
        <v>8000</v>
      </c>
      <c r="H62" s="18">
        <f>Assumptions!B74</f>
        <v>8000</v>
      </c>
      <c r="I62" s="18">
        <f>Assumptions!B74</f>
        <v>8000</v>
      </c>
      <c r="J62" s="18">
        <f>Assumptions!B74</f>
        <v>8000</v>
      </c>
      <c r="K62" s="18">
        <f>Assumptions!B74</f>
        <v>8000</v>
      </c>
    </row>
    <row r="63" spans="1:11" x14ac:dyDescent="0.2">
      <c r="A63" t="s">
        <v>316</v>
      </c>
      <c r="B63" s="18">
        <f>B61*B62</f>
        <v>160000</v>
      </c>
      <c r="C63" s="18">
        <f>C61*C62</f>
        <v>384000</v>
      </c>
      <c r="D63" s="18">
        <f>D61*D62</f>
        <v>640000</v>
      </c>
      <c r="E63" s="18">
        <f>E61*E62</f>
        <v>960000</v>
      </c>
      <c r="F63" s="18">
        <f>F61*F62</f>
        <v>1440000</v>
      </c>
      <c r="G63" s="18">
        <f>G61*G62</f>
        <v>1664000</v>
      </c>
      <c r="H63" s="18">
        <f>H61*H62</f>
        <v>1856000</v>
      </c>
      <c r="I63" s="18">
        <f>I61*I62</f>
        <v>2080000</v>
      </c>
      <c r="J63" s="18">
        <f>J61*J62</f>
        <v>2304000</v>
      </c>
      <c r="K63" s="18">
        <f>K61*K62</f>
        <v>2560000</v>
      </c>
    </row>
    <row r="64" spans="1:11" x14ac:dyDescent="0.2">
      <c r="A64" t="s">
        <v>317</v>
      </c>
      <c r="B64" s="19">
        <f>Assumptions!B76</f>
        <v>0.3</v>
      </c>
      <c r="C64" s="19">
        <f>Assumptions!B76</f>
        <v>0.3</v>
      </c>
      <c r="D64" s="19">
        <f>Assumptions!B76</f>
        <v>0.3</v>
      </c>
      <c r="E64" s="19">
        <f>Assumptions!B76</f>
        <v>0.3</v>
      </c>
      <c r="F64" s="19">
        <f>Assumptions!B76</f>
        <v>0.3</v>
      </c>
      <c r="G64" s="19">
        <f>Assumptions!B76</f>
        <v>0.3</v>
      </c>
      <c r="H64" s="19">
        <f>Assumptions!B76</f>
        <v>0.3</v>
      </c>
      <c r="I64" s="19">
        <f>Assumptions!B76</f>
        <v>0.3</v>
      </c>
      <c r="J64" s="19">
        <f>Assumptions!B76</f>
        <v>0.3</v>
      </c>
      <c r="K64" s="19">
        <f>Assumptions!B76</f>
        <v>0.3</v>
      </c>
    </row>
    <row r="65" spans="1:11" x14ac:dyDescent="0.2">
      <c r="A65" t="s">
        <v>318</v>
      </c>
      <c r="B65" s="18">
        <f>B59*B64</f>
        <v>1.5</v>
      </c>
      <c r="C65" s="18">
        <f>C59*C64</f>
        <v>3.5999999999999996</v>
      </c>
      <c r="D65" s="18">
        <f>D59*D64</f>
        <v>6</v>
      </c>
      <c r="E65" s="18">
        <f>E59*E64</f>
        <v>9</v>
      </c>
      <c r="F65" s="18">
        <f>F59*F64</f>
        <v>13.5</v>
      </c>
      <c r="G65" s="18">
        <f>G59*G64</f>
        <v>15.6</v>
      </c>
      <c r="H65" s="18">
        <f>H59*H64</f>
        <v>17.399999999999999</v>
      </c>
      <c r="I65" s="18">
        <f>I59*I64</f>
        <v>19.5</v>
      </c>
      <c r="J65" s="18">
        <f>J59*J64</f>
        <v>21.599999999999998</v>
      </c>
      <c r="K65" s="18">
        <f>K59*K64</f>
        <v>24</v>
      </c>
    </row>
    <row r="66" spans="1:11" x14ac:dyDescent="0.2">
      <c r="A66" t="s">
        <v>319</v>
      </c>
      <c r="B66" s="18">
        <f>B65*Assumptions!B75</f>
        <v>22500</v>
      </c>
      <c r="C66" s="18">
        <f>C65*Assumptions!B75</f>
        <v>53999.999999999993</v>
      </c>
      <c r="D66" s="18">
        <f>D65*Assumptions!B75</f>
        <v>90000</v>
      </c>
      <c r="E66" s="18">
        <f>E65*Assumptions!B75</f>
        <v>135000</v>
      </c>
      <c r="F66" s="18">
        <f>F65*Assumptions!B75</f>
        <v>202500</v>
      </c>
      <c r="G66" s="18">
        <f>G65*Assumptions!B75</f>
        <v>234000</v>
      </c>
      <c r="H66" s="18">
        <f>H65*Assumptions!B75</f>
        <v>260999.99999999997</v>
      </c>
      <c r="I66" s="18">
        <f>I65*Assumptions!B75</f>
        <v>292500</v>
      </c>
      <c r="J66" s="18">
        <f>J65*Assumptions!B75</f>
        <v>323999.99999999994</v>
      </c>
      <c r="K66" s="18">
        <f>K65*Assumptions!B75</f>
        <v>360000</v>
      </c>
    </row>
    <row r="67" spans="1:11" x14ac:dyDescent="0.2">
      <c r="A67" t="s">
        <v>320</v>
      </c>
      <c r="B67" s="19">
        <f>Assumptions!B78</f>
        <v>0.2</v>
      </c>
      <c r="C67" s="19">
        <f>Assumptions!B78</f>
        <v>0.2</v>
      </c>
      <c r="D67" s="19">
        <f>Assumptions!B78</f>
        <v>0.2</v>
      </c>
      <c r="E67" s="19">
        <f>Assumptions!B78</f>
        <v>0.2</v>
      </c>
      <c r="F67" s="19">
        <f>Assumptions!B78</f>
        <v>0.2</v>
      </c>
      <c r="G67" s="19">
        <f>Assumptions!B78</f>
        <v>0.2</v>
      </c>
      <c r="H67" s="19">
        <f>Assumptions!B78</f>
        <v>0.2</v>
      </c>
      <c r="I67" s="19">
        <f>Assumptions!B78</f>
        <v>0.2</v>
      </c>
      <c r="J67" s="19">
        <f>Assumptions!B78</f>
        <v>0.2</v>
      </c>
      <c r="K67" s="19">
        <f>Assumptions!B78</f>
        <v>0.2</v>
      </c>
    </row>
    <row r="68" spans="1:11" x14ac:dyDescent="0.2">
      <c r="A68" t="s">
        <v>321</v>
      </c>
      <c r="B68" s="18">
        <f>B59*B67</f>
        <v>1</v>
      </c>
      <c r="C68" s="18">
        <f>C59*C67</f>
        <v>2.4000000000000004</v>
      </c>
      <c r="D68" s="18">
        <f>D59*D67</f>
        <v>4</v>
      </c>
      <c r="E68" s="18">
        <f>E59*E67</f>
        <v>6</v>
      </c>
      <c r="F68" s="18">
        <f>F59*F67</f>
        <v>9</v>
      </c>
      <c r="G68" s="18">
        <f>G59*G67</f>
        <v>10.4</v>
      </c>
      <c r="H68" s="18">
        <f>H59*H67</f>
        <v>11.600000000000001</v>
      </c>
      <c r="I68" s="18">
        <f>I59*I67</f>
        <v>13</v>
      </c>
      <c r="J68" s="18">
        <f>J59*J67</f>
        <v>14.4</v>
      </c>
      <c r="K68" s="18">
        <f>K59*K67</f>
        <v>16</v>
      </c>
    </row>
    <row r="69" spans="1:11" x14ac:dyDescent="0.2">
      <c r="A69" t="s">
        <v>322</v>
      </c>
      <c r="B69" s="18">
        <f>B68*Assumptions!B77</f>
        <v>5000</v>
      </c>
      <c r="C69" s="18">
        <f>C68*Assumptions!B77</f>
        <v>12000.000000000002</v>
      </c>
      <c r="D69" s="18">
        <f>D68*Assumptions!B77</f>
        <v>20000</v>
      </c>
      <c r="E69" s="18">
        <f>E68*Assumptions!B77</f>
        <v>30000</v>
      </c>
      <c r="F69" s="18">
        <f>F68*Assumptions!B77</f>
        <v>45000</v>
      </c>
      <c r="G69" s="18">
        <f>G68*Assumptions!B77</f>
        <v>52000</v>
      </c>
      <c r="H69" s="18">
        <f>H68*Assumptions!B77</f>
        <v>58000.000000000007</v>
      </c>
      <c r="I69" s="18">
        <f>I68*Assumptions!B77</f>
        <v>65000</v>
      </c>
      <c r="J69" s="18">
        <f>J68*Assumptions!B77</f>
        <v>72000</v>
      </c>
      <c r="K69" s="18">
        <f>K68*Assumptions!B77</f>
        <v>80000</v>
      </c>
    </row>
    <row r="70" spans="1:11" x14ac:dyDescent="0.2">
      <c r="A70" t="s">
        <v>323</v>
      </c>
      <c r="B70" s="18">
        <f>0</f>
        <v>0</v>
      </c>
      <c r="C70" s="18">
        <f>C63*Assumptions!B82</f>
        <v>96000</v>
      </c>
      <c r="D70" s="18">
        <f>D63*Assumptions!B82</f>
        <v>160000</v>
      </c>
      <c r="E70" s="18">
        <f>E63*Assumptions!B82</f>
        <v>240000</v>
      </c>
      <c r="F70" s="18">
        <f>F63*Assumptions!B82</f>
        <v>360000</v>
      </c>
      <c r="G70" s="18">
        <f>G63*Assumptions!B82</f>
        <v>416000</v>
      </c>
      <c r="H70" s="18">
        <f>H63*Assumptions!B82</f>
        <v>464000</v>
      </c>
      <c r="I70" s="18">
        <f>I63*Assumptions!B82</f>
        <v>520000</v>
      </c>
      <c r="J70" s="18">
        <f>J63*Assumptions!B82</f>
        <v>576000</v>
      </c>
      <c r="K70" s="18">
        <f>K63*Assumptions!B82</f>
        <v>640000</v>
      </c>
    </row>
    <row r="71" spans="1:11" ht="17" thickBot="1" x14ac:dyDescent="0.25">
      <c r="A71" s="23" t="s">
        <v>324</v>
      </c>
      <c r="B71" s="24">
        <f>B63+B66+B69+B70</f>
        <v>187500</v>
      </c>
      <c r="C71" s="24">
        <f>C63+C66+C69+C70</f>
        <v>546000</v>
      </c>
      <c r="D71" s="24">
        <f>D63+D66+D69+D70</f>
        <v>910000</v>
      </c>
      <c r="E71" s="24">
        <f>E63+E66+E69+E70</f>
        <v>1365000</v>
      </c>
      <c r="F71" s="24">
        <f>F63+F66+F69+F70</f>
        <v>2047500</v>
      </c>
      <c r="G71" s="24">
        <f>G63+G66+G69+G70</f>
        <v>2366000</v>
      </c>
      <c r="H71" s="24">
        <f>H63+H66+H69+H70</f>
        <v>2639000</v>
      </c>
      <c r="I71" s="24">
        <f>I63+I66+I69+I70</f>
        <v>2957500</v>
      </c>
      <c r="J71" s="24">
        <f>J63+J66+J69+J70</f>
        <v>3276000</v>
      </c>
      <c r="K71" s="24">
        <f>K63+K66+K69+K70</f>
        <v>3640000</v>
      </c>
    </row>
    <row r="72" spans="1:11" ht="17" thickTop="1" x14ac:dyDescent="0.2"/>
    <row r="73" spans="1:11" x14ac:dyDescent="0.2">
      <c r="A73" s="3" t="s">
        <v>325</v>
      </c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2">
      <c r="A74" t="s">
        <v>326</v>
      </c>
      <c r="B74" s="18">
        <f>B20</f>
        <v>265097.44799999992</v>
      </c>
      <c r="C74" s="18">
        <f>C20</f>
        <v>460846.94040000002</v>
      </c>
      <c r="D74" s="18">
        <f>D20</f>
        <v>768382.19377919985</v>
      </c>
      <c r="E74" s="18">
        <f>E20</f>
        <v>1000032.1884907201</v>
      </c>
      <c r="F74" s="18">
        <f>F20</f>
        <v>1352494.438289074</v>
      </c>
      <c r="G74" s="18">
        <f>G20</f>
        <v>1503162.3309637271</v>
      </c>
      <c r="H74" s="18">
        <f>H20</f>
        <v>1665684.0003563988</v>
      </c>
      <c r="I74" s="18">
        <f>I20</f>
        <v>1832755.8099915632</v>
      </c>
      <c r="J74" s="18">
        <f>J20</f>
        <v>1933170.5677025933</v>
      </c>
      <c r="K74" s="18">
        <f>K20</f>
        <v>2066507.0118649029</v>
      </c>
    </row>
    <row r="75" spans="1:11" x14ac:dyDescent="0.2">
      <c r="A75" t="s">
        <v>327</v>
      </c>
      <c r="B75" s="18">
        <f>B38</f>
        <v>979.19999999999993</v>
      </c>
      <c r="C75" s="18">
        <f>C38</f>
        <v>1815.4368000000002</v>
      </c>
      <c r="D75" s="18">
        <f>D38</f>
        <v>63116.499839999997</v>
      </c>
      <c r="E75" s="18">
        <f>E38</f>
        <v>118065.99345792001</v>
      </c>
      <c r="F75" s="18">
        <f>F38</f>
        <v>205510.49113375999</v>
      </c>
      <c r="G75" s="18">
        <f>G38</f>
        <v>281243.38645455008</v>
      </c>
      <c r="H75" s="18">
        <f>H38</f>
        <v>367015.2960525672</v>
      </c>
      <c r="I75" s="18">
        <f>I38</f>
        <v>462827.9011786562</v>
      </c>
      <c r="J75" s="18">
        <f>J38</f>
        <v>552434.86459312437</v>
      </c>
      <c r="K75" s="18">
        <f>K38</f>
        <v>708943.43731123919</v>
      </c>
    </row>
    <row r="76" spans="1:11" x14ac:dyDescent="0.2">
      <c r="A76" t="s">
        <v>328</v>
      </c>
      <c r="B76" s="18">
        <f>B56</f>
        <v>131224</v>
      </c>
      <c r="C76" s="18">
        <f>C56</f>
        <v>196891.08000000002</v>
      </c>
      <c r="D76" s="18">
        <f>D56</f>
        <v>328246.35399999999</v>
      </c>
      <c r="E76" s="18">
        <f>E56</f>
        <v>394012.49354399997</v>
      </c>
      <c r="F76" s="18">
        <f>F56</f>
        <v>525510.49113375996</v>
      </c>
      <c r="G76" s="18">
        <f>G56</f>
        <v>525675.80586777278</v>
      </c>
      <c r="H76" s="18">
        <f>H56</f>
        <v>525846.080043806</v>
      </c>
      <c r="I76" s="18">
        <f>I56</f>
        <v>526021.46244512009</v>
      </c>
      <c r="J76" s="18">
        <f>J56</f>
        <v>526202.10631847382</v>
      </c>
      <c r="K76" s="18">
        <f>K56</f>
        <v>526388.16950802796</v>
      </c>
    </row>
    <row r="77" spans="1:11" x14ac:dyDescent="0.2">
      <c r="A77" t="s">
        <v>329</v>
      </c>
      <c r="B77" s="18">
        <f>B71</f>
        <v>187500</v>
      </c>
      <c r="C77" s="18">
        <f>C71</f>
        <v>546000</v>
      </c>
      <c r="D77" s="18">
        <f>D71</f>
        <v>910000</v>
      </c>
      <c r="E77" s="18">
        <f>E71</f>
        <v>1365000</v>
      </c>
      <c r="F77" s="18">
        <f>F71</f>
        <v>2047500</v>
      </c>
      <c r="G77" s="18">
        <f>G71</f>
        <v>2366000</v>
      </c>
      <c r="H77" s="18">
        <f>H71</f>
        <v>2639000</v>
      </c>
      <c r="I77" s="18">
        <f>I71</f>
        <v>2957500</v>
      </c>
      <c r="J77" s="18">
        <f>J71</f>
        <v>3276000</v>
      </c>
      <c r="K77" s="18">
        <f>K71</f>
        <v>3640000</v>
      </c>
    </row>
    <row r="78" spans="1:11" ht="17" thickBot="1" x14ac:dyDescent="0.25">
      <c r="A78" s="31" t="s">
        <v>330</v>
      </c>
      <c r="B78" s="32">
        <f>B74+B75+B76+B77</f>
        <v>584800.64799999993</v>
      </c>
      <c r="C78" s="32">
        <f>C74+C75+C76+C77</f>
        <v>1205553.4572000001</v>
      </c>
      <c r="D78" s="32">
        <f>D74+D75+D76+D77</f>
        <v>2069745.0476191998</v>
      </c>
      <c r="E78" s="32">
        <f>E74+E75+E76+E77</f>
        <v>2877110.6754926401</v>
      </c>
      <c r="F78" s="32">
        <f>F74+F75+F76+F77</f>
        <v>4131015.4205565937</v>
      </c>
      <c r="G78" s="32">
        <f>G74+G75+G76+G77</f>
        <v>4676081.5232860502</v>
      </c>
      <c r="H78" s="32">
        <f>H74+H75+H76+H77</f>
        <v>5197545.3764527719</v>
      </c>
      <c r="I78" s="32">
        <f>I74+I75+I76+I77</f>
        <v>5779105.1736153392</v>
      </c>
      <c r="J78" s="32">
        <f>J74+J75+J76+J77</f>
        <v>6287807.5386141911</v>
      </c>
      <c r="K78" s="32">
        <f>K74+K75+K76+K77</f>
        <v>6941838.6186841698</v>
      </c>
    </row>
    <row r="79" spans="1:11" ht="17" thickTop="1" x14ac:dyDescent="0.2"/>
    <row r="80" spans="1:11" x14ac:dyDescent="0.2">
      <c r="A80" t="s">
        <v>331</v>
      </c>
      <c r="B80" s="19">
        <f>IF(B78=0,0,B74/B78)</f>
        <v>0.45331250727341865</v>
      </c>
      <c r="C80" s="19">
        <f>IF(C78=0,0,C74/C78)</f>
        <v>0.38227001685214029</v>
      </c>
      <c r="D80" s="19">
        <f>IF(D78=0,0,D74/D78)</f>
        <v>0.37124485195075579</v>
      </c>
      <c r="E80" s="19">
        <f>IF(E78=0,0,E74/E78)</f>
        <v>0.34758210624604741</v>
      </c>
      <c r="F80" s="19">
        <f>IF(F78=0,0,F74/F78)</f>
        <v>0.32739999748217963</v>
      </c>
      <c r="G80" s="19">
        <f>IF(G78=0,0,G74/G78)</f>
        <v>0.32145768277953396</v>
      </c>
      <c r="H80" s="19">
        <f>IF(H78=0,0,H74/H78)</f>
        <v>0.32047512425821228</v>
      </c>
      <c r="I80" s="19">
        <f>IF(I78=0,0,I74/I78)</f>
        <v>0.31713487727460982</v>
      </c>
      <c r="J80" s="19">
        <f>IF(J78=0,0,J74/J78)</f>
        <v>0.30744747765111408</v>
      </c>
      <c r="K80" s="19">
        <f>IF(K78=0,0,K74/K78)</f>
        <v>0.29768871409698816</v>
      </c>
    </row>
    <row r="81" spans="1:11" x14ac:dyDescent="0.2">
      <c r="A81" t="s">
        <v>332</v>
      </c>
      <c r="B81" s="19">
        <f>IF(B78=0,0,B75/B78)</f>
        <v>1.6744167492782943E-3</v>
      </c>
      <c r="C81" s="19">
        <f>IF(C78=0,0,C75/C78)</f>
        <v>1.5058948976153291E-3</v>
      </c>
      <c r="D81" s="19">
        <f>IF(D78=0,0,D75/D78)</f>
        <v>3.0494818631213571E-2</v>
      </c>
      <c r="E81" s="19">
        <f>IF(E78=0,0,E75/E78)</f>
        <v>4.103630578538793E-2</v>
      </c>
      <c r="F81" s="19">
        <f>IF(F78=0,0,F75/F78)</f>
        <v>4.974817816246991E-2</v>
      </c>
      <c r="G81" s="19">
        <f>IF(G78=0,0,G75/G78)</f>
        <v>6.0145099065105748E-2</v>
      </c>
      <c r="H81" s="19">
        <f>IF(H78=0,0,H75/H78)</f>
        <v>7.0613197090171109E-2</v>
      </c>
      <c r="I81" s="19">
        <f>IF(I78=0,0,I75/I78)</f>
        <v>8.0086429866635667E-2</v>
      </c>
      <c r="J81" s="19">
        <f>IF(J78=0,0,J75/J78)</f>
        <v>8.785810653404301E-2</v>
      </c>
      <c r="K81" s="19">
        <f>IF(K78=0,0,K75/K78)</f>
        <v>0.10212617668798817</v>
      </c>
    </row>
    <row r="82" spans="1:11" x14ac:dyDescent="0.2">
      <c r="A82" t="s">
        <v>333</v>
      </c>
      <c r="B82" s="19">
        <f>IF(B78=0,0,B76/B78)</f>
        <v>0.22439099622885508</v>
      </c>
      <c r="C82" s="19">
        <f>IF(C78=0,0,C76/C78)</f>
        <v>0.16332007413200592</v>
      </c>
      <c r="D82" s="19">
        <f>IF(D78=0,0,D76/D78)</f>
        <v>0.15859265100190836</v>
      </c>
      <c r="E82" s="19">
        <f>IF(E78=0,0,E76/E78)</f>
        <v>0.1369472842668919</v>
      </c>
      <c r="F82" s="19">
        <f>IF(F78=0,0,F76/F78)</f>
        <v>0.12721097300163434</v>
      </c>
      <c r="G82" s="19">
        <f>IF(G78=0,0,G76/G78)</f>
        <v>0.11241801565049737</v>
      </c>
      <c r="H82" s="19">
        <f>IF(H78=0,0,H76/H78)</f>
        <v>0.10117200369738497</v>
      </c>
      <c r="I82" s="19">
        <f>IF(I78=0,0,I76/I78)</f>
        <v>9.1021264822568948E-2</v>
      </c>
      <c r="J82" s="19">
        <f>IF(J78=0,0,J76/J78)</f>
        <v>8.3686102522541064E-2</v>
      </c>
      <c r="K82" s="19">
        <f>IF(K78=0,0,K76/K78)</f>
        <v>7.5828350156576407E-2</v>
      </c>
    </row>
    <row r="83" spans="1:11" x14ac:dyDescent="0.2">
      <c r="A83" t="s">
        <v>334</v>
      </c>
      <c r="B83" s="19">
        <f>IF(B78=0,0,B77/B78)</f>
        <v>0.32062207974844792</v>
      </c>
      <c r="C83" s="19">
        <f>IF(C78=0,0,C77/C78)</f>
        <v>0.45290401411823844</v>
      </c>
      <c r="D83" s="19">
        <f>IF(D78=0,0,D77/D78)</f>
        <v>0.43966767841612225</v>
      </c>
      <c r="E83" s="19">
        <f>IF(E78=0,0,E77/E78)</f>
        <v>0.47443430370167272</v>
      </c>
      <c r="F83" s="19">
        <f>IF(F78=0,0,F77/F78)</f>
        <v>0.49564085135371616</v>
      </c>
      <c r="G83" s="19">
        <f>IF(G78=0,0,G77/G78)</f>
        <v>0.50597920250486283</v>
      </c>
      <c r="H83" s="19">
        <f>IF(H78=0,0,H77/H78)</f>
        <v>0.50773967495423167</v>
      </c>
      <c r="I83" s="19">
        <f>IF(I78=0,0,I77/I78)</f>
        <v>0.51175742803618562</v>
      </c>
      <c r="J83" s="19">
        <f>IF(J78=0,0,J77/J78)</f>
        <v>0.52100831329230191</v>
      </c>
      <c r="K83" s="19">
        <f>IF(K78=0,0,K77/K78)</f>
        <v>0.52435675905844736</v>
      </c>
    </row>
    <row r="85" spans="1:11" x14ac:dyDescent="0.2">
      <c r="A85" t="s">
        <v>335</v>
      </c>
      <c r="B85" s="19" t="s">
        <v>336</v>
      </c>
      <c r="C85" s="19">
        <f>IF(B78=0,0,(C78-B78)/B78)</f>
        <v>1.0614776357087761</v>
      </c>
      <c r="D85" s="19">
        <f>IF(C78=0,0,(D78-C78)/C78)</f>
        <v>0.71684219829318718</v>
      </c>
      <c r="E85" s="19">
        <f>IF(D78=0,0,(E78-D78)/D78)</f>
        <v>0.39007974861548395</v>
      </c>
      <c r="F85" s="19">
        <f>IF(E78=0,0,(F78-E78)/E78)</f>
        <v>0.43582082390669619</v>
      </c>
      <c r="G85" s="19">
        <f>IF(F78=0,0,(G78-F78)/F78)</f>
        <v>0.13194482402973379</v>
      </c>
      <c r="H85" s="19">
        <f>IF(G78=0,0,(H78-G78)/G78)</f>
        <v>0.11151727158090058</v>
      </c>
      <c r="I85" s="19">
        <f>IF(H78=0,0,(I78-H78)/H78)</f>
        <v>0.11189124000673391</v>
      </c>
      <c r="J85" s="19">
        <f>IF(I78=0,0,(J78-I78)/I78)</f>
        <v>8.802441722662295E-2</v>
      </c>
      <c r="K85" s="19">
        <f>IF(J78=0,0,(K78-J78)/J78)</f>
        <v>0.10401576003296766</v>
      </c>
    </row>
    <row r="130" spans="1:11" x14ac:dyDescent="0.2">
      <c r="A130" s="148" t="s">
        <v>926</v>
      </c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</row>
    <row r="131" spans="1:11" x14ac:dyDescent="0.2">
      <c r="A131" s="35" t="s">
        <v>927</v>
      </c>
    </row>
    <row r="132" spans="1:11" x14ac:dyDescent="0.2">
      <c r="A132" t="s">
        <v>928</v>
      </c>
      <c r="B132" s="17">
        <v>0</v>
      </c>
      <c r="C132" s="17">
        <f>B138</f>
        <v>4096.7999999999993</v>
      </c>
      <c r="D132" s="17">
        <f>C138</f>
        <v>9688.56</v>
      </c>
      <c r="E132" s="17">
        <f>D138</f>
        <v>17718.791999999998</v>
      </c>
      <c r="F132" s="17">
        <f>E138</f>
        <v>26063.954399999999</v>
      </c>
      <c r="G132" s="17">
        <f>F138</f>
        <v>36021.568079999997</v>
      </c>
      <c r="H132" s="17">
        <f>G138</f>
        <v>44333.497655999992</v>
      </c>
      <c r="I132" s="17">
        <f>H138</f>
        <v>51493.448359199996</v>
      </c>
      <c r="J132" s="17">
        <f>I138</f>
        <v>57847.013851439995</v>
      </c>
      <c r="K132" s="17">
        <f>J138</f>
        <v>62840.749696008003</v>
      </c>
    </row>
    <row r="133" spans="1:11" x14ac:dyDescent="0.2">
      <c r="A133" t="s">
        <v>929</v>
      </c>
      <c r="B133" s="17">
        <f>B12/6</f>
        <v>3880.7999999999993</v>
      </c>
      <c r="C133" s="17">
        <f>C12/6</f>
        <v>6468</v>
      </c>
      <c r="D133" s="17">
        <f>D12/6</f>
        <v>10348.799999999997</v>
      </c>
      <c r="E133" s="17">
        <f>E12/6</f>
        <v>12936</v>
      </c>
      <c r="F133" s="17">
        <f>F12/6</f>
        <v>16816.8</v>
      </c>
      <c r="G133" s="17">
        <f>G12/6</f>
        <v>18110.399999999998</v>
      </c>
      <c r="H133" s="17">
        <f>H12/6</f>
        <v>19404</v>
      </c>
      <c r="I133" s="17">
        <f>I12/6</f>
        <v>20697.599999999995</v>
      </c>
      <c r="J133" s="17">
        <f>J12/6</f>
        <v>21215.040000000001</v>
      </c>
      <c r="K133" s="17">
        <f>K12/6</f>
        <v>21991.199999999997</v>
      </c>
    </row>
    <row r="134" spans="1:11" x14ac:dyDescent="0.2">
      <c r="A134" t="s">
        <v>930</v>
      </c>
      <c r="B134" s="17">
        <f>B34</f>
        <v>96</v>
      </c>
      <c r="C134" s="17">
        <f>C34</f>
        <v>172.8</v>
      </c>
      <c r="D134" s="17">
        <f>D34</f>
        <v>288</v>
      </c>
      <c r="E134" s="17">
        <f>E34</f>
        <v>364.8</v>
      </c>
      <c r="F134" s="17">
        <f>F34</f>
        <v>480</v>
      </c>
      <c r="G134" s="17">
        <f>G34</f>
        <v>528</v>
      </c>
      <c r="H134" s="17">
        <f>H34</f>
        <v>576</v>
      </c>
      <c r="I134" s="17">
        <f>I34</f>
        <v>624</v>
      </c>
      <c r="J134" s="17">
        <f>J34</f>
        <v>652.79999999999995</v>
      </c>
      <c r="K134" s="17">
        <f>K34</f>
        <v>672</v>
      </c>
    </row>
    <row r="135" spans="1:11" x14ac:dyDescent="0.2">
      <c r="A135" t="s">
        <v>931</v>
      </c>
      <c r="B135" s="17">
        <f>B51</f>
        <v>120</v>
      </c>
      <c r="C135" s="17">
        <f>C51</f>
        <v>180</v>
      </c>
      <c r="D135" s="17">
        <f>D51</f>
        <v>300</v>
      </c>
      <c r="E135" s="17">
        <f>E51</f>
        <v>360</v>
      </c>
      <c r="F135" s="17">
        <f>F51</f>
        <v>480</v>
      </c>
      <c r="G135" s="17">
        <f>G51</f>
        <v>480</v>
      </c>
      <c r="H135" s="17">
        <f>H51</f>
        <v>480</v>
      </c>
      <c r="I135" s="17">
        <f>I51</f>
        <v>480</v>
      </c>
      <c r="J135" s="17">
        <f>J51</f>
        <v>480</v>
      </c>
      <c r="K135" s="17">
        <f>K51</f>
        <v>480</v>
      </c>
    </row>
    <row r="136" spans="1:11" x14ac:dyDescent="0.2">
      <c r="A136" t="s">
        <v>932</v>
      </c>
      <c r="B136" s="17">
        <f>B133+B134+B135</f>
        <v>4096.7999999999993</v>
      </c>
      <c r="C136" s="17">
        <f>C133+C134+C135</f>
        <v>6820.8</v>
      </c>
      <c r="D136" s="17">
        <f>D133+D134+D135</f>
        <v>10936.799999999997</v>
      </c>
      <c r="E136" s="17">
        <f>E133+E134+E135</f>
        <v>13660.8</v>
      </c>
      <c r="F136" s="17">
        <f>F133+F134+F135</f>
        <v>17776.8</v>
      </c>
      <c r="G136" s="17">
        <f>G133+G134+G135</f>
        <v>19118.399999999998</v>
      </c>
      <c r="H136" s="17">
        <f>H133+H134+H135</f>
        <v>20460</v>
      </c>
      <c r="I136" s="17">
        <f>I133+I134+I135</f>
        <v>21801.599999999995</v>
      </c>
      <c r="J136" s="17">
        <f>J133+J134+J135</f>
        <v>22347.84</v>
      </c>
      <c r="K136" s="17">
        <f>K133+K134+K135</f>
        <v>23143.199999999997</v>
      </c>
    </row>
    <row r="137" spans="1:11" x14ac:dyDescent="0.2">
      <c r="A137" t="s">
        <v>933</v>
      </c>
      <c r="B137" s="17">
        <f>-B132*Assumptions!B139</f>
        <v>0</v>
      </c>
      <c r="C137" s="17">
        <f>-C132*Assumptions!B139</f>
        <v>-1229.0399999999997</v>
      </c>
      <c r="D137" s="17">
        <f>-D132*Assumptions!B139</f>
        <v>-2906.5679999999998</v>
      </c>
      <c r="E137" s="17">
        <f>-E132*Assumptions!B139</f>
        <v>-5315.6375999999991</v>
      </c>
      <c r="F137" s="17">
        <f>-F132*Assumptions!B139</f>
        <v>-7819.1863199999989</v>
      </c>
      <c r="G137" s="17">
        <f>-G132*Assumptions!B139</f>
        <v>-10806.470423999999</v>
      </c>
      <c r="H137" s="17">
        <f>-H132*Assumptions!B139</f>
        <v>-13300.049296799998</v>
      </c>
      <c r="I137" s="17">
        <f>-I132*Assumptions!B139</f>
        <v>-15448.034507759998</v>
      </c>
      <c r="J137" s="17">
        <f>-J132*Assumptions!B139</f>
        <v>-17354.104155431996</v>
      </c>
      <c r="K137" s="17">
        <f>-K132*Assumptions!B139</f>
        <v>-18852.2249088024</v>
      </c>
    </row>
    <row r="138" spans="1:11" x14ac:dyDescent="0.2">
      <c r="A138" s="21" t="s">
        <v>934</v>
      </c>
      <c r="B138" s="151">
        <f>B132+B136+B137</f>
        <v>4096.7999999999993</v>
      </c>
      <c r="C138" s="151">
        <f>C132+C136+C137</f>
        <v>9688.56</v>
      </c>
      <c r="D138" s="151">
        <f>D132+D136+D137</f>
        <v>17718.791999999998</v>
      </c>
      <c r="E138" s="151">
        <f>E132+E136+E137</f>
        <v>26063.954399999999</v>
      </c>
      <c r="F138" s="151">
        <f>F132+F136+F137</f>
        <v>36021.568079999997</v>
      </c>
      <c r="G138" s="151">
        <f>G132+G136+G137</f>
        <v>44333.497655999992</v>
      </c>
      <c r="H138" s="151">
        <f>H132+H136+H137</f>
        <v>51493.448359199996</v>
      </c>
      <c r="I138" s="151">
        <f>I132+I136+I137</f>
        <v>57847.013851439995</v>
      </c>
      <c r="J138" s="151">
        <f>J132+J136+J137</f>
        <v>62840.749696008003</v>
      </c>
      <c r="K138" s="151">
        <f>K132+K136+K137</f>
        <v>67131.724787205603</v>
      </c>
    </row>
    <row r="139" spans="1:11" x14ac:dyDescent="0.2">
      <c r="A139" t="s">
        <v>935</v>
      </c>
      <c r="B139" s="17">
        <f>B138-B132</f>
        <v>4096.7999999999993</v>
      </c>
      <c r="C139" s="17">
        <f>C138-C132</f>
        <v>5591.76</v>
      </c>
      <c r="D139" s="17">
        <f>D138-D132</f>
        <v>8030.2319999999982</v>
      </c>
      <c r="E139" s="17">
        <f>E138-E132</f>
        <v>8345.1624000000011</v>
      </c>
      <c r="F139" s="17">
        <f>F138-F132</f>
        <v>9957.6136799999986</v>
      </c>
      <c r="G139" s="17">
        <f>G138-G132</f>
        <v>8311.929575999995</v>
      </c>
      <c r="H139" s="17">
        <f>H138-H132</f>
        <v>7159.9507032000038</v>
      </c>
      <c r="I139" s="17">
        <f>I138-I132</f>
        <v>6353.565492239999</v>
      </c>
      <c r="J139" s="17">
        <f>J138-J132</f>
        <v>4993.7358445680075</v>
      </c>
      <c r="K139" s="17">
        <f>K138-K132</f>
        <v>4290.9750911976007</v>
      </c>
    </row>
    <row r="140" spans="1:11" x14ac:dyDescent="0.2">
      <c r="A140" t="s">
        <v>936</v>
      </c>
      <c r="B140" s="62">
        <f>IF(B138=0,0,B12/B138)</f>
        <v>5.6836555360281196</v>
      </c>
      <c r="C140" s="62">
        <f>IF(C138=0,0,C12/C138)</f>
        <v>4.0055488122073868</v>
      </c>
      <c r="D140" s="62">
        <f>IF(D138=0,0,D12/D138)</f>
        <v>3.504347248954669</v>
      </c>
      <c r="E140" s="62">
        <f>IF(E138=0,0,E12/E138)</f>
        <v>2.977905762450229</v>
      </c>
      <c r="F140" s="62">
        <f>IF(F138=0,0,F12/F138)</f>
        <v>2.8011218105749935</v>
      </c>
      <c r="G140" s="62">
        <f>IF(G138=0,0,G12/G138)</f>
        <v>2.4510224941679937</v>
      </c>
      <c r="H140" s="62">
        <f>IF(H138=0,0,H12/H138)</f>
        <v>2.2609478236506431</v>
      </c>
      <c r="I140" s="62">
        <f>IF(I138=0,0,I12/I138)</f>
        <v>2.1467936152923581</v>
      </c>
      <c r="J140" s="62">
        <f>IF(J138=0,0,J12/J138)</f>
        <v>2.0256002771412862</v>
      </c>
      <c r="K140" s="62">
        <f>IF(K138=0,0,K12/K138)</f>
        <v>1.9654969452706113</v>
      </c>
    </row>
    <row r="141" spans="1:11" x14ac:dyDescent="0.2">
      <c r="A141" t="s">
        <v>937</v>
      </c>
      <c r="B141" s="17">
        <f>B12</f>
        <v>23284.799999999996</v>
      </c>
      <c r="C141" s="17">
        <f>C12</f>
        <v>38808</v>
      </c>
      <c r="D141" s="17">
        <f>D12</f>
        <v>62092.799999999988</v>
      </c>
      <c r="E141" s="17">
        <f>E12</f>
        <v>77616</v>
      </c>
      <c r="F141" s="17">
        <f>F12</f>
        <v>100900.79999999999</v>
      </c>
      <c r="G141" s="17">
        <f>G12</f>
        <v>108662.39999999999</v>
      </c>
      <c r="H141" s="17">
        <f>H12</f>
        <v>116424</v>
      </c>
      <c r="I141" s="17">
        <f>I12</f>
        <v>124185.59999999998</v>
      </c>
      <c r="J141" s="17">
        <f>J12</f>
        <v>127290.24000000001</v>
      </c>
      <c r="K141" s="17">
        <f>K12</f>
        <v>131947.19999999998</v>
      </c>
    </row>
    <row r="143" spans="1:11" x14ac:dyDescent="0.2">
      <c r="A143" s="35" t="s">
        <v>938</v>
      </c>
    </row>
    <row r="144" spans="1:11" x14ac:dyDescent="0.2">
      <c r="A144" t="s">
        <v>939</v>
      </c>
      <c r="B144" s="17">
        <v>0</v>
      </c>
      <c r="C144" s="17">
        <f>B147</f>
        <v>5</v>
      </c>
      <c r="D144" s="17">
        <f>C147</f>
        <v>12</v>
      </c>
      <c r="E144" s="17">
        <f>D147</f>
        <v>20</v>
      </c>
      <c r="F144" s="17">
        <f>E147</f>
        <v>30</v>
      </c>
      <c r="G144" s="17">
        <f>F147</f>
        <v>45</v>
      </c>
      <c r="H144" s="17">
        <f>G147</f>
        <v>52</v>
      </c>
      <c r="I144" s="17">
        <f>H147</f>
        <v>58.000000000000007</v>
      </c>
      <c r="J144" s="17">
        <f>I147</f>
        <v>65</v>
      </c>
      <c r="K144" s="17">
        <f>J147</f>
        <v>72</v>
      </c>
    </row>
    <row r="145" spans="1:11" x14ac:dyDescent="0.2">
      <c r="A145" t="s">
        <v>940</v>
      </c>
      <c r="B145" s="17">
        <f>B59-B144+B144*Assumptions!B140</f>
        <v>5</v>
      </c>
      <c r="C145" s="17">
        <f>C59-C144+C144*Assumptions!B140</f>
        <v>8</v>
      </c>
      <c r="D145" s="17">
        <f>D59-D144+D144*Assumptions!B140</f>
        <v>10.4</v>
      </c>
      <c r="E145" s="17">
        <f>E59-E144+E144*Assumptions!B140</f>
        <v>14</v>
      </c>
      <c r="F145" s="17">
        <f>F59-F144+F144*Assumptions!B140</f>
        <v>21</v>
      </c>
      <c r="G145" s="17">
        <f>G59-G144+G144*Assumptions!B140</f>
        <v>16</v>
      </c>
      <c r="H145" s="17">
        <f>H59-H144+H144*Assumptions!B140</f>
        <v>16.399999999999999</v>
      </c>
      <c r="I145" s="17">
        <f>I59-I144+I144*Assumptions!B140</f>
        <v>18.599999999999994</v>
      </c>
      <c r="J145" s="17">
        <f>J59-J144+J144*Assumptions!B140</f>
        <v>20</v>
      </c>
      <c r="K145" s="17">
        <f>K59-K144+K144*Assumptions!B140</f>
        <v>22.4</v>
      </c>
    </row>
    <row r="146" spans="1:11" x14ac:dyDescent="0.2">
      <c r="A146" t="s">
        <v>941</v>
      </c>
      <c r="B146" s="17">
        <f>-B144*Assumptions!B140</f>
        <v>0</v>
      </c>
      <c r="C146" s="17">
        <f>-C144*Assumptions!B140</f>
        <v>-1</v>
      </c>
      <c r="D146" s="17">
        <f>-D144*Assumptions!B140</f>
        <v>-2.4000000000000004</v>
      </c>
      <c r="E146" s="17">
        <f>-E144*Assumptions!B140</f>
        <v>-4</v>
      </c>
      <c r="F146" s="17">
        <f>-F144*Assumptions!B140</f>
        <v>-6</v>
      </c>
      <c r="G146" s="17">
        <f>-G144*Assumptions!B140</f>
        <v>-9</v>
      </c>
      <c r="H146" s="17">
        <f>-H144*Assumptions!B140</f>
        <v>-10.4</v>
      </c>
      <c r="I146" s="17">
        <f>-I144*Assumptions!B140</f>
        <v>-11.600000000000001</v>
      </c>
      <c r="J146" s="17">
        <f>-J144*Assumptions!B140</f>
        <v>-13</v>
      </c>
      <c r="K146" s="17">
        <f>-K144*Assumptions!B140</f>
        <v>-14.4</v>
      </c>
    </row>
    <row r="147" spans="1:11" x14ac:dyDescent="0.2">
      <c r="A147" s="21" t="s">
        <v>942</v>
      </c>
      <c r="B147" s="151">
        <f>B144+B145+B146</f>
        <v>5</v>
      </c>
      <c r="C147" s="151">
        <f>C144+C145+C146</f>
        <v>12</v>
      </c>
      <c r="D147" s="151">
        <f>D144+D145+D146</f>
        <v>20</v>
      </c>
      <c r="E147" s="151">
        <f>E144+E145+E146</f>
        <v>30</v>
      </c>
      <c r="F147" s="151">
        <f>F144+F145+F146</f>
        <v>45</v>
      </c>
      <c r="G147" s="151">
        <f>G144+G145+G146</f>
        <v>52</v>
      </c>
      <c r="H147" s="151">
        <f>H144+H145+H146</f>
        <v>58.000000000000007</v>
      </c>
      <c r="I147" s="151">
        <f>I144+I145+I146</f>
        <v>65</v>
      </c>
      <c r="J147" s="151">
        <f>J144+J145+J146</f>
        <v>72</v>
      </c>
      <c r="K147" s="151">
        <f>K144+K145+K146</f>
        <v>80</v>
      </c>
    </row>
    <row r="148" spans="1:11" x14ac:dyDescent="0.2">
      <c r="A148" t="s">
        <v>943</v>
      </c>
      <c r="B148" s="17">
        <f>B147-B144</f>
        <v>5</v>
      </c>
      <c r="C148" s="17">
        <f>C147-C144</f>
        <v>7</v>
      </c>
      <c r="D148" s="17">
        <f>D147-D144</f>
        <v>8</v>
      </c>
      <c r="E148" s="17">
        <f>E147-E144</f>
        <v>10</v>
      </c>
      <c r="F148" s="17">
        <f>F147-F144</f>
        <v>15</v>
      </c>
      <c r="G148" s="17">
        <f>G147-G144</f>
        <v>7</v>
      </c>
      <c r="H148" s="17">
        <f>H147-H144</f>
        <v>6.0000000000000071</v>
      </c>
      <c r="I148" s="17">
        <f>I147-I144</f>
        <v>6.9999999999999929</v>
      </c>
      <c r="J148" s="17">
        <f>J147-J144</f>
        <v>7</v>
      </c>
      <c r="K148" s="17">
        <f>K147-K144</f>
        <v>8</v>
      </c>
    </row>
    <row r="149" spans="1:11" x14ac:dyDescent="0.2">
      <c r="A149" t="s">
        <v>477</v>
      </c>
      <c r="B149" s="18">
        <f>IF(B59=0,0,B71/B59)</f>
        <v>37500</v>
      </c>
      <c r="C149" s="18">
        <f>IF(C59=0,0,C71/C59)</f>
        <v>45500</v>
      </c>
      <c r="D149" s="18">
        <f>IF(D59=0,0,D71/D59)</f>
        <v>45500</v>
      </c>
      <c r="E149" s="18">
        <f>IF(E59=0,0,E71/E59)</f>
        <v>45500</v>
      </c>
      <c r="F149" s="18">
        <f>IF(F59=0,0,F71/F59)</f>
        <v>45500</v>
      </c>
      <c r="G149" s="18">
        <f>IF(G59=0,0,G71/G59)</f>
        <v>45500</v>
      </c>
      <c r="H149" s="18">
        <f>IF(H59=0,0,H71/H59)</f>
        <v>45500</v>
      </c>
      <c r="I149" s="18">
        <f>IF(I59=0,0,I71/I59)</f>
        <v>45500</v>
      </c>
      <c r="J149" s="18">
        <f>IF(J59=0,0,J71/J59)</f>
        <v>45500</v>
      </c>
      <c r="K149" s="18">
        <f>IF(K59=0,0,K71/K59)</f>
        <v>45500</v>
      </c>
    </row>
  </sheetData>
  <mergeCells count="7">
    <mergeCell ref="A130:K130"/>
    <mergeCell ref="A1:K1"/>
    <mergeCell ref="A4:K4"/>
    <mergeCell ref="A22:K22"/>
    <mergeCell ref="A40:K40"/>
    <mergeCell ref="A58:K58"/>
    <mergeCell ref="A73:K73"/>
  </mergeCells>
  <conditionalFormatting sqref="C85:K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{5EC7437E-0AF9-2747-B0EC-6974A101AB1A}</x14:id>
        </ext>
      </extLst>
    </cfRule>
  </conditionalFormatting>
  <conditionalFormatting sqref="B78:K7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{DECA3CE4-43FE-4348-99BD-6DFD0A541E6D}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C7437E-0AF9-2747-B0EC-6974A101AB1A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C85:K85</xm:sqref>
        </x14:conditionalFormatting>
        <x14:conditionalFormatting xmlns:xm="http://schemas.microsoft.com/office/excel/2006/main">
          <x14:cfRule type="dataBar" id="{DECA3CE4-43FE-4348-99BD-6DFD0A541E6D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B78:K78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E62-79DA-ED44-9030-22BDCF803748}">
  <sheetPr>
    <tabColor rgb="FFC00000"/>
  </sheetPr>
  <dimension ref="A1:K56"/>
  <sheetViews>
    <sheetView workbookViewId="0">
      <pane ySplit="2" topLeftCell="A9" activePane="bottomLeft" state="frozen"/>
      <selection pane="bottomLeft" sqref="A1:K1"/>
    </sheetView>
  </sheetViews>
  <sheetFormatPr baseColWidth="10" defaultRowHeight="16" x14ac:dyDescent="0.2"/>
  <cols>
    <col min="1" max="1" width="41.6640625" customWidth="1"/>
    <col min="2" max="11" width="15.83203125" customWidth="1"/>
  </cols>
  <sheetData>
    <row r="1" spans="1:11" ht="19" x14ac:dyDescent="0.25">
      <c r="A1" s="1" t="s">
        <v>337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3"/>
      <c r="B2" s="14" t="s">
        <v>259</v>
      </c>
      <c r="C2" s="14" t="s">
        <v>260</v>
      </c>
      <c r="D2" s="14" t="s">
        <v>261</v>
      </c>
      <c r="E2" s="14" t="s">
        <v>262</v>
      </c>
      <c r="F2" s="14" t="s">
        <v>263</v>
      </c>
      <c r="G2" s="14" t="s">
        <v>264</v>
      </c>
      <c r="H2" s="14" t="s">
        <v>265</v>
      </c>
      <c r="I2" s="14" t="s">
        <v>266</v>
      </c>
      <c r="J2" s="14" t="s">
        <v>267</v>
      </c>
      <c r="K2" s="14" t="s">
        <v>268</v>
      </c>
    </row>
    <row r="4" spans="1:11" x14ac:dyDescent="0.2">
      <c r="A4" s="29" t="s">
        <v>338</v>
      </c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 x14ac:dyDescent="0.2">
      <c r="A5" t="s">
        <v>339</v>
      </c>
      <c r="B5" s="18">
        <f>'Revenue Build'!B14*0.03</f>
        <v>59376.239999999983</v>
      </c>
      <c r="C5" s="18">
        <f>'Revenue Build'!C14*0.03</f>
        <v>101929.212</v>
      </c>
      <c r="D5" s="18">
        <f>'Revenue Build'!D14*0.03</f>
        <v>167979.34137599997</v>
      </c>
      <c r="E5" s="18">
        <f>'Revenue Build'!E14*0.03</f>
        <v>216273.40202160002</v>
      </c>
      <c r="F5" s="18">
        <f>'Revenue Build'!F14*0.03</f>
        <v>289590.08530692238</v>
      </c>
      <c r="G5" s="18">
        <f>'Revenue Build'!G14*0.03</f>
        <v>321222.23308660166</v>
      </c>
      <c r="H5" s="18">
        <f>'Revenue Build'!H14*0.03</f>
        <v>354491.67865628545</v>
      </c>
      <c r="I5" s="18">
        <f>'Revenue Build'!I14*0.03</f>
        <v>389468.1909503722</v>
      </c>
      <c r="J5" s="18">
        <f>'Revenue Build'!J14*0.03</f>
        <v>411181.04259585554</v>
      </c>
      <c r="K5" s="18">
        <f>'Revenue Build'!K14*0.03</f>
        <v>439010.97901545308</v>
      </c>
    </row>
    <row r="6" spans="1:11" x14ac:dyDescent="0.2">
      <c r="A6" t="s">
        <v>340</v>
      </c>
      <c r="B6" s="18">
        <f>'Revenue Build'!B23*Assumptions!B47*12</f>
        <v>60000</v>
      </c>
      <c r="C6" s="18">
        <f>'Revenue Build'!C23*Assumptions!B47*12</f>
        <v>108000</v>
      </c>
      <c r="D6" s="18">
        <f>'Revenue Build'!D23*Assumptions!B47*12</f>
        <v>180000</v>
      </c>
      <c r="E6" s="18">
        <f>'Revenue Build'!E23*Assumptions!B47*12</f>
        <v>228000</v>
      </c>
      <c r="F6" s="18">
        <f>'Revenue Build'!F23*Assumptions!B47*12</f>
        <v>300000</v>
      </c>
      <c r="G6" s="18">
        <f>'Revenue Build'!G23*Assumptions!B47*12</f>
        <v>330000</v>
      </c>
      <c r="H6" s="18">
        <f>'Revenue Build'!H23*Assumptions!B47*12</f>
        <v>360000</v>
      </c>
      <c r="I6" s="18">
        <f>'Revenue Build'!I23*Assumptions!B47*12</f>
        <v>390000</v>
      </c>
      <c r="J6" s="18">
        <f>'Revenue Build'!J23*Assumptions!B47*12</f>
        <v>408000</v>
      </c>
      <c r="K6" s="18">
        <f>'Revenue Build'!K23*Assumptions!B47*12</f>
        <v>420000</v>
      </c>
    </row>
    <row r="7" spans="1:11" x14ac:dyDescent="0.2">
      <c r="A7" t="s">
        <v>341</v>
      </c>
      <c r="B7" s="18">
        <f>'Revenue Build'!B23*Assumptions!B48*12</f>
        <v>24000</v>
      </c>
      <c r="C7" s="18">
        <f>'Revenue Build'!C23*Assumptions!B48*12</f>
        <v>43200</v>
      </c>
      <c r="D7" s="18">
        <f>'Revenue Build'!D23*Assumptions!B48*12</f>
        <v>72000</v>
      </c>
      <c r="E7" s="18">
        <f>'Revenue Build'!E23*Assumptions!B48*12</f>
        <v>91200</v>
      </c>
      <c r="F7" s="18">
        <f>'Revenue Build'!F23*Assumptions!B48*12</f>
        <v>120000</v>
      </c>
      <c r="G7" s="18">
        <f>'Revenue Build'!G23*Assumptions!B48*12</f>
        <v>132000</v>
      </c>
      <c r="H7" s="18">
        <f>'Revenue Build'!H23*Assumptions!B48*12</f>
        <v>144000</v>
      </c>
      <c r="I7" s="18">
        <f>'Revenue Build'!I23*Assumptions!B48*12</f>
        <v>156000</v>
      </c>
      <c r="J7" s="18">
        <f>'Revenue Build'!J23*Assumptions!B48*12</f>
        <v>163200</v>
      </c>
      <c r="K7" s="18">
        <f>'Revenue Build'!K23*Assumptions!B48*12</f>
        <v>168000</v>
      </c>
    </row>
    <row r="8" spans="1:11" x14ac:dyDescent="0.2">
      <c r="A8" t="s">
        <v>342</v>
      </c>
      <c r="B8" s="18">
        <f>'Revenue Build'!B23*Assumptions!B49*12</f>
        <v>12000</v>
      </c>
      <c r="C8" s="18">
        <f>'Revenue Build'!C23*Assumptions!B49*12</f>
        <v>21600</v>
      </c>
      <c r="D8" s="18">
        <f>'Revenue Build'!D23*Assumptions!B49*12</f>
        <v>36000</v>
      </c>
      <c r="E8" s="18">
        <f>'Revenue Build'!E23*Assumptions!B49*12</f>
        <v>45600</v>
      </c>
      <c r="F8" s="18">
        <f>'Revenue Build'!F23*Assumptions!B49*12</f>
        <v>60000</v>
      </c>
      <c r="G8" s="18">
        <f>'Revenue Build'!G23*Assumptions!B49*12</f>
        <v>66000</v>
      </c>
      <c r="H8" s="18">
        <f>'Revenue Build'!H23*Assumptions!B49*12</f>
        <v>72000</v>
      </c>
      <c r="I8" s="18">
        <f>'Revenue Build'!I23*Assumptions!B49*12</f>
        <v>78000</v>
      </c>
      <c r="J8" s="18">
        <f>'Revenue Build'!J23*Assumptions!B49*12</f>
        <v>81600</v>
      </c>
      <c r="K8" s="18">
        <f>'Revenue Build'!K23*Assumptions!B49*12</f>
        <v>84000</v>
      </c>
    </row>
    <row r="9" spans="1:11" x14ac:dyDescent="0.2">
      <c r="A9" t="s">
        <v>343</v>
      </c>
      <c r="B9" s="18">
        <f>'Revenue Build'!B41*Assumptions!B64</f>
        <v>30000</v>
      </c>
      <c r="C9" s="18">
        <f>'Revenue Build'!C41*Assumptions!B64</f>
        <v>45000</v>
      </c>
      <c r="D9" s="18">
        <f>'Revenue Build'!D41*Assumptions!B64</f>
        <v>75000</v>
      </c>
      <c r="E9" s="18">
        <f>'Revenue Build'!E41*Assumptions!B64</f>
        <v>90000</v>
      </c>
      <c r="F9" s="18">
        <f>'Revenue Build'!F41*Assumptions!B64</f>
        <v>120000</v>
      </c>
      <c r="G9" s="18">
        <f>'Revenue Build'!G41*Assumptions!B64</f>
        <v>120000</v>
      </c>
      <c r="H9" s="18">
        <f>'Revenue Build'!H41*Assumptions!B64</f>
        <v>120000</v>
      </c>
      <c r="I9" s="18">
        <f>'Revenue Build'!I41*Assumptions!B64</f>
        <v>120000</v>
      </c>
      <c r="J9" s="18">
        <f>'Revenue Build'!J41*Assumptions!B64</f>
        <v>120000</v>
      </c>
      <c r="K9" s="18">
        <f>'Revenue Build'!K41*Assumptions!B64</f>
        <v>120000</v>
      </c>
    </row>
    <row r="10" spans="1:11" x14ac:dyDescent="0.2">
      <c r="A10" t="s">
        <v>344</v>
      </c>
      <c r="B10" s="18">
        <f>'Revenue Build'!B63*Assumptions!B80</f>
        <v>88000</v>
      </c>
      <c r="C10" s="18">
        <f>'Revenue Build'!C63*Assumptions!B80</f>
        <v>211200.00000000003</v>
      </c>
      <c r="D10" s="18">
        <f>'Revenue Build'!D63*Assumptions!B80</f>
        <v>352000</v>
      </c>
      <c r="E10" s="18">
        <f>'Revenue Build'!E63*Assumptions!B80</f>
        <v>528000</v>
      </c>
      <c r="F10" s="18">
        <f>'Revenue Build'!F63*Assumptions!B80</f>
        <v>792000.00000000012</v>
      </c>
      <c r="G10" s="18">
        <f>'Revenue Build'!G63*Assumptions!B80</f>
        <v>915200.00000000012</v>
      </c>
      <c r="H10" s="18">
        <f>'Revenue Build'!H63*Assumptions!B80</f>
        <v>1020800.0000000001</v>
      </c>
      <c r="I10" s="18">
        <f>'Revenue Build'!I63*Assumptions!B80</f>
        <v>1144000</v>
      </c>
      <c r="J10" s="18">
        <f>'Revenue Build'!J63*Assumptions!B80</f>
        <v>1267200</v>
      </c>
      <c r="K10" s="18">
        <f>'Revenue Build'!K63*Assumptions!B80</f>
        <v>1408000</v>
      </c>
    </row>
    <row r="11" spans="1:11" x14ac:dyDescent="0.2">
      <c r="A11" t="s">
        <v>345</v>
      </c>
      <c r="B11" s="18">
        <f>'Revenue Build'!B71*0.05</f>
        <v>9375</v>
      </c>
      <c r="C11" s="18">
        <f>'Revenue Build'!C71*0.05</f>
        <v>27300</v>
      </c>
      <c r="D11" s="18">
        <f>'Revenue Build'!D71*0.05</f>
        <v>45500</v>
      </c>
      <c r="E11" s="18">
        <f>'Revenue Build'!E71*0.05</f>
        <v>68250</v>
      </c>
      <c r="F11" s="18">
        <f>'Revenue Build'!F71*0.05</f>
        <v>102375</v>
      </c>
      <c r="G11" s="18">
        <f>'Revenue Build'!G71*0.05</f>
        <v>118300</v>
      </c>
      <c r="H11" s="18">
        <f>'Revenue Build'!H71*0.05</f>
        <v>131950</v>
      </c>
      <c r="I11" s="18">
        <f>'Revenue Build'!I71*0.05</f>
        <v>147875</v>
      </c>
      <c r="J11" s="18">
        <f>'Revenue Build'!J71*0.05</f>
        <v>163800</v>
      </c>
      <c r="K11" s="18">
        <f>'Revenue Build'!K71*0.05</f>
        <v>182000</v>
      </c>
    </row>
    <row r="12" spans="1:11" x14ac:dyDescent="0.2">
      <c r="A12" t="s">
        <v>346</v>
      </c>
      <c r="B12" s="18">
        <f>'Revenue Build'!B78*0.02</f>
        <v>11696.012959999998</v>
      </c>
      <c r="C12" s="18">
        <f>'Revenue Build'!C78*0.02</f>
        <v>24111.069144000001</v>
      </c>
      <c r="D12" s="18">
        <f>'Revenue Build'!D78*0.02</f>
        <v>41394.900952384</v>
      </c>
      <c r="E12" s="18">
        <f>'Revenue Build'!E78*0.02</f>
        <v>57542.213509852802</v>
      </c>
      <c r="F12" s="18">
        <f>'Revenue Build'!F78*0.02</f>
        <v>82620.308411131875</v>
      </c>
      <c r="G12" s="18">
        <f>'Revenue Build'!G78*0.02</f>
        <v>93521.630465720998</v>
      </c>
      <c r="H12" s="18">
        <f>'Revenue Build'!H78*0.02</f>
        <v>103950.90752905545</v>
      </c>
      <c r="I12" s="18">
        <f>'Revenue Build'!I78*0.02</f>
        <v>115582.10347230679</v>
      </c>
      <c r="J12" s="18">
        <f>'Revenue Build'!J78*0.02</f>
        <v>125756.15077228383</v>
      </c>
      <c r="K12" s="18">
        <f>'Revenue Build'!K78*0.02</f>
        <v>138836.7723736834</v>
      </c>
    </row>
    <row r="13" spans="1:11" ht="17" thickBot="1" x14ac:dyDescent="0.25">
      <c r="A13" s="33" t="s">
        <v>347</v>
      </c>
      <c r="B13" s="34">
        <f>SUM(B5:B12)</f>
        <v>294447.25296000001</v>
      </c>
      <c r="C13" s="34">
        <f>SUM(C5:C12)</f>
        <v>582340.28114400001</v>
      </c>
      <c r="D13" s="34">
        <f>SUM(D5:D12)</f>
        <v>969874.24232838396</v>
      </c>
      <c r="E13" s="34">
        <f>SUM(E5:E12)</f>
        <v>1324865.6155314527</v>
      </c>
      <c r="F13" s="34">
        <f>SUM(F5:F12)</f>
        <v>1866585.3937180543</v>
      </c>
      <c r="G13" s="34">
        <f>SUM(G5:G12)</f>
        <v>2096243.8635523228</v>
      </c>
      <c r="H13" s="34">
        <f>SUM(H5:H12)</f>
        <v>2307192.5861853412</v>
      </c>
      <c r="I13" s="34">
        <f>SUM(I5:I12)</f>
        <v>2540925.2944226791</v>
      </c>
      <c r="J13" s="34">
        <f>SUM(J5:J12)</f>
        <v>2740737.1933681392</v>
      </c>
      <c r="K13" s="34">
        <f>SUM(K5:K12)</f>
        <v>2959847.7513891361</v>
      </c>
    </row>
    <row r="14" spans="1:11" ht="17" thickTop="1" x14ac:dyDescent="0.2"/>
    <row r="15" spans="1:11" x14ac:dyDescent="0.2">
      <c r="A15" s="15" t="s">
        <v>348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x14ac:dyDescent="0.2">
      <c r="A16" s="5" t="s">
        <v>349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2">
      <c r="A17" t="s">
        <v>350</v>
      </c>
      <c r="B17" s="18">
        <f>Assumptions!B86*(1+Assumptions!B95)^0</f>
        <v>150000</v>
      </c>
      <c r="C17" s="18">
        <f>Assumptions!B86*(1+Assumptions!B95)^1</f>
        <v>154500</v>
      </c>
      <c r="D17" s="18">
        <f>Assumptions!B86*(1+Assumptions!B95)^2</f>
        <v>159135</v>
      </c>
      <c r="E17" s="18">
        <f>Assumptions!B86*(1+Assumptions!B95)^3</f>
        <v>163909.04999999999</v>
      </c>
      <c r="F17" s="18">
        <f>Assumptions!B86*(1+Assumptions!B95)^4</f>
        <v>168826.32149999999</v>
      </c>
      <c r="G17" s="18">
        <f>Assumptions!B86*(1+Assumptions!B95)^5</f>
        <v>173891.11114499997</v>
      </c>
      <c r="H17" s="18">
        <f>Assumptions!B86*(1+Assumptions!B95)^6</f>
        <v>179107.84447934999</v>
      </c>
      <c r="I17" s="18">
        <f>Assumptions!B86*(1+Assumptions!B95)^7</f>
        <v>184481.0798137305</v>
      </c>
      <c r="J17" s="18">
        <f>Assumptions!B86*(1+Assumptions!B95)^8</f>
        <v>190015.51220814238</v>
      </c>
      <c r="K17" s="18">
        <f>Assumptions!B86*(1+Assumptions!B95)^9</f>
        <v>195715.97757438666</v>
      </c>
    </row>
    <row r="18" spans="1:11" x14ac:dyDescent="0.2">
      <c r="A18" t="s">
        <v>351</v>
      </c>
      <c r="B18" s="18">
        <f>Assumptions!B87*(1+Assumptions!B95)^0</f>
        <v>120000</v>
      </c>
      <c r="C18" s="18">
        <f>Assumptions!B87*(1+Assumptions!B95)^1</f>
        <v>123600</v>
      </c>
      <c r="D18" s="18">
        <f>Assumptions!B87*(1+Assumptions!B95)^2</f>
        <v>127308</v>
      </c>
      <c r="E18" s="18">
        <f>Assumptions!B87*(1+Assumptions!B95)^3</f>
        <v>131127.24</v>
      </c>
      <c r="F18" s="18">
        <f>Assumptions!B87*(1+Assumptions!B95)^4</f>
        <v>135061.05719999998</v>
      </c>
      <c r="G18" s="18">
        <f>Assumptions!B87*(1+Assumptions!B95)^5</f>
        <v>139112.88891599997</v>
      </c>
      <c r="H18" s="18">
        <f>Assumptions!B87*(1+Assumptions!B95)^6</f>
        <v>143286.27558347999</v>
      </c>
      <c r="I18" s="18">
        <f>Assumptions!B87*(1+Assumptions!B95)^7</f>
        <v>147584.8638509844</v>
      </c>
      <c r="J18" s="18">
        <f>Assumptions!B87*(1+Assumptions!B95)^8</f>
        <v>152012.40976651391</v>
      </c>
      <c r="K18" s="18">
        <f>Assumptions!B87*(1+Assumptions!B95)^9</f>
        <v>156572.78205950934</v>
      </c>
    </row>
    <row r="19" spans="1:11" x14ac:dyDescent="0.2">
      <c r="A19" t="s">
        <v>352</v>
      </c>
      <c r="B19" s="18">
        <f>Assumptions!B88*(1+Assumptions!B95)^0</f>
        <v>110000</v>
      </c>
      <c r="C19" s="18">
        <f>Assumptions!B88*(1+Assumptions!B95)^1</f>
        <v>113300</v>
      </c>
      <c r="D19" s="18">
        <f>Assumptions!B88*(1+Assumptions!B95)^2</f>
        <v>116699</v>
      </c>
      <c r="E19" s="18">
        <f>Assumptions!B88*(1+Assumptions!B95)^3</f>
        <v>120199.97</v>
      </c>
      <c r="F19" s="18">
        <f>Assumptions!B88*(1+Assumptions!B95)^4</f>
        <v>123805.96909999999</v>
      </c>
      <c r="G19" s="18">
        <f>Assumptions!B88*(1+Assumptions!B95)^5</f>
        <v>127520.14817299998</v>
      </c>
      <c r="H19" s="18">
        <f>Assumptions!B88*(1+Assumptions!B95)^6</f>
        <v>131345.75261818999</v>
      </c>
      <c r="I19" s="18">
        <f>Assumptions!B88*(1+Assumptions!B95)^7</f>
        <v>135286.12519673569</v>
      </c>
      <c r="J19" s="18">
        <f>Assumptions!B88*(1+Assumptions!B95)^8</f>
        <v>139344.70895263774</v>
      </c>
      <c r="K19" s="18">
        <f>Assumptions!B88*(1+Assumptions!B95)^9</f>
        <v>143525.05022121689</v>
      </c>
    </row>
    <row r="20" spans="1:11" x14ac:dyDescent="0.2">
      <c r="A20" t="s">
        <v>353</v>
      </c>
      <c r="B20" s="18">
        <f>Assumptions!B89*(1+Assumptions!B95)^0</f>
        <v>75000</v>
      </c>
      <c r="C20" s="18">
        <f>Assumptions!B89*(1+Assumptions!B95)^1</f>
        <v>77250</v>
      </c>
      <c r="D20" s="18">
        <f>Assumptions!B89*(1+Assumptions!B95)^2</f>
        <v>79567.5</v>
      </c>
      <c r="E20" s="18">
        <f>Assumptions!B89*(1+Assumptions!B95)^3</f>
        <v>81954.524999999994</v>
      </c>
      <c r="F20" s="18">
        <f>Assumptions!B89*(1+Assumptions!B95)^4</f>
        <v>84413.160749999995</v>
      </c>
      <c r="G20" s="18">
        <f>Assumptions!B89*(1+Assumptions!B95)^5</f>
        <v>86945.555572499987</v>
      </c>
      <c r="H20" s="18">
        <f>Assumptions!B89*(1+Assumptions!B95)^6</f>
        <v>89553.922239674997</v>
      </c>
      <c r="I20" s="18">
        <f>Assumptions!B89*(1+Assumptions!B95)^7</f>
        <v>92240.539906865248</v>
      </c>
      <c r="J20" s="18">
        <f>Assumptions!B89*(1+Assumptions!B95)^8</f>
        <v>95007.756104071188</v>
      </c>
      <c r="K20" s="18">
        <f>Assumptions!B89*(1+Assumptions!B95)^9</f>
        <v>97857.988787193332</v>
      </c>
    </row>
    <row r="21" spans="1:11" x14ac:dyDescent="0.2">
      <c r="A21" t="s">
        <v>354</v>
      </c>
      <c r="B21" s="18">
        <f>Assumptions!B90*(1+Assumptions!B95)^0</f>
        <v>85000</v>
      </c>
      <c r="C21" s="18">
        <f>Assumptions!B90*(1+Assumptions!B95)^1</f>
        <v>87550</v>
      </c>
      <c r="D21" s="18">
        <f>Assumptions!B90*(1+Assumptions!B95)^2</f>
        <v>90176.5</v>
      </c>
      <c r="E21" s="18">
        <f>Assumptions!B90*(1+Assumptions!B95)^3</f>
        <v>92881.794999999998</v>
      </c>
      <c r="F21" s="18">
        <f>Assumptions!B90*(1+Assumptions!B95)^4</f>
        <v>95668.248849999989</v>
      </c>
      <c r="G21" s="18">
        <f>Assumptions!B90*(1+Assumptions!B95)^5</f>
        <v>98538.296315499989</v>
      </c>
      <c r="H21" s="18">
        <f>Assumptions!B90*(1+Assumptions!B95)^6</f>
        <v>101494.445204965</v>
      </c>
      <c r="I21" s="18">
        <f>Assumptions!B90*(1+Assumptions!B95)^7</f>
        <v>104539.27856111396</v>
      </c>
      <c r="J21" s="18">
        <f>Assumptions!B90*(1+Assumptions!B95)^8</f>
        <v>107675.45691794735</v>
      </c>
      <c r="K21" s="18">
        <f>Assumptions!B90*(1+Assumptions!B95)^9</f>
        <v>110905.72062548577</v>
      </c>
    </row>
    <row r="22" spans="1:11" x14ac:dyDescent="0.2">
      <c r="A22" t="s">
        <v>355</v>
      </c>
      <c r="B22" s="18">
        <f>0</f>
        <v>0</v>
      </c>
      <c r="C22" s="18">
        <f>Assumptions!B91*(1+Assumptions!B95)^1</f>
        <v>56650</v>
      </c>
      <c r="D22" s="18">
        <f>Assumptions!B91*(1+Assumptions!B95)^2</f>
        <v>58349.5</v>
      </c>
      <c r="E22" s="18">
        <f>Assumptions!B91*(1+Assumptions!B95)^3</f>
        <v>60099.985000000001</v>
      </c>
      <c r="F22" s="18">
        <f>Assumptions!B91*(1+Assumptions!B95)^4</f>
        <v>61902.984549999994</v>
      </c>
      <c r="G22" s="18">
        <f>Assumptions!B91*(1+Assumptions!B95)^5</f>
        <v>63760.07408649999</v>
      </c>
      <c r="H22" s="18">
        <f>Assumptions!B91*(1+Assumptions!B95)^6</f>
        <v>65672.876309094994</v>
      </c>
      <c r="I22" s="18">
        <f>Assumptions!B91*(1+Assumptions!B95)^7</f>
        <v>67643.062598367847</v>
      </c>
      <c r="J22" s="18">
        <f>Assumptions!B91*(1+Assumptions!B95)^8</f>
        <v>69672.354476318869</v>
      </c>
      <c r="K22" s="18">
        <f>Assumptions!B91*(1+Assumptions!B95)^9</f>
        <v>71762.525110608447</v>
      </c>
    </row>
    <row r="23" spans="1:11" x14ac:dyDescent="0.2">
      <c r="A23" t="s">
        <v>356</v>
      </c>
      <c r="B23" s="18">
        <f>0</f>
        <v>0</v>
      </c>
      <c r="C23" s="18">
        <f>Assumptions!B92*(1+Assumptions!B95)^1</f>
        <v>61800</v>
      </c>
      <c r="D23" s="18">
        <f>Assumptions!B92*(1+Assumptions!B95)^2</f>
        <v>63654</v>
      </c>
      <c r="E23" s="18">
        <f>Assumptions!B92*(1+Assumptions!B95)^3</f>
        <v>65563.62</v>
      </c>
      <c r="F23" s="18">
        <f>Assumptions!B92*(1+Assumptions!B95)^4</f>
        <v>67530.528599999991</v>
      </c>
      <c r="G23" s="18">
        <f>Assumptions!B92*(1+Assumptions!B95)^5</f>
        <v>69556.444457999984</v>
      </c>
      <c r="H23" s="18">
        <f>Assumptions!B92*(1+Assumptions!B95)^6</f>
        <v>71643.137791739995</v>
      </c>
      <c r="I23" s="18">
        <f>Assumptions!B92*(1+Assumptions!B95)^7</f>
        <v>73792.431925492201</v>
      </c>
      <c r="J23" s="18">
        <f>Assumptions!B92*(1+Assumptions!B95)^8</f>
        <v>76006.204883256956</v>
      </c>
      <c r="K23" s="18">
        <f>Assumptions!B92*(1+Assumptions!B95)^9</f>
        <v>78286.391029754668</v>
      </c>
    </row>
    <row r="24" spans="1:11" x14ac:dyDescent="0.2">
      <c r="A24" t="s">
        <v>357</v>
      </c>
      <c r="B24" s="18">
        <f>0</f>
        <v>0</v>
      </c>
      <c r="C24" s="18">
        <f>Assumptions!B93*(1+Assumptions!B95)^1</f>
        <v>66950</v>
      </c>
      <c r="D24" s="18">
        <f>Assumptions!B93*(1+Assumptions!B95)^2</f>
        <v>68958.5</v>
      </c>
      <c r="E24" s="18">
        <f>Assumptions!B93*(1+Assumptions!B95)^3</f>
        <v>71027.255000000005</v>
      </c>
      <c r="F24" s="18">
        <f>Assumptions!B93*(1+Assumptions!B95)^4</f>
        <v>73158.072649999987</v>
      </c>
      <c r="G24" s="18">
        <f>Assumptions!B93*(1+Assumptions!B95)^5</f>
        <v>75352.814829499985</v>
      </c>
      <c r="H24" s="18">
        <f>Assumptions!B93*(1+Assumptions!B95)^6</f>
        <v>77613.399274384996</v>
      </c>
      <c r="I24" s="18">
        <f>Assumptions!B93*(1+Assumptions!B95)^7</f>
        <v>79941.801252616555</v>
      </c>
      <c r="J24" s="18">
        <f>Assumptions!B93*(1+Assumptions!B95)^8</f>
        <v>82340.055290195029</v>
      </c>
      <c r="K24" s="18">
        <f>Assumptions!B93*(1+Assumptions!B95)^9</f>
        <v>84810.256948900889</v>
      </c>
    </row>
    <row r="25" spans="1:11" x14ac:dyDescent="0.2">
      <c r="A25" t="s">
        <v>358</v>
      </c>
      <c r="B25" s="11">
        <f>0*70000*(1+Assumptions!B95)^0</f>
        <v>0</v>
      </c>
      <c r="C25" s="11">
        <f>0*70000*(1+Assumptions!B95)^1</f>
        <v>0</v>
      </c>
      <c r="D25" s="11">
        <f>0*70000*(1+Assumptions!B95)^2</f>
        <v>0</v>
      </c>
      <c r="E25" s="11">
        <f>2*70000*(1+Assumptions!B95)^3</f>
        <v>152981.78</v>
      </c>
      <c r="F25" s="11">
        <f>2*70000*(1+Assumptions!B95)^4</f>
        <v>157571.2334</v>
      </c>
      <c r="G25" s="11">
        <f>2*70000*(1+Assumptions!B95)^5</f>
        <v>162298.37040199997</v>
      </c>
      <c r="H25" s="11">
        <f>4*70000*(1+Assumptions!B95)^6</f>
        <v>334334.64302811999</v>
      </c>
      <c r="I25" s="11">
        <f>4*70000*(1+Assumptions!B95)^7</f>
        <v>344364.68231896358</v>
      </c>
      <c r="J25" s="11">
        <f>6*70000*(1+Assumptions!B95)^8</f>
        <v>532043.43418279872</v>
      </c>
      <c r="K25" s="11">
        <f>6*70000*(1+Assumptions!B95)^9</f>
        <v>548004.73720828269</v>
      </c>
    </row>
    <row r="26" spans="1:11" x14ac:dyDescent="0.2">
      <c r="A26" t="s">
        <v>359</v>
      </c>
      <c r="B26" s="18">
        <f>SUM(B17:B25)</f>
        <v>540000</v>
      </c>
      <c r="C26" s="18">
        <f>SUM(C17:C25)</f>
        <v>741600</v>
      </c>
      <c r="D26" s="18">
        <f>SUM(D17:D25)</f>
        <v>763848</v>
      </c>
      <c r="E26" s="18">
        <f>SUM(E17:E25)</f>
        <v>939745.22000000009</v>
      </c>
      <c r="F26" s="18">
        <f>SUM(F17:F25)</f>
        <v>967937.57659999991</v>
      </c>
      <c r="G26" s="18">
        <f>SUM(G17:G25)</f>
        <v>996975.70389799983</v>
      </c>
      <c r="H26" s="18">
        <f>SUM(H17:H25)</f>
        <v>1194052.2965289997</v>
      </c>
      <c r="I26" s="18">
        <f>SUM(I17:I25)</f>
        <v>1229873.86542487</v>
      </c>
      <c r="J26" s="18">
        <f>SUM(J17:J25)</f>
        <v>1444117.8927818821</v>
      </c>
      <c r="K26" s="18">
        <f>SUM(K17:K25)</f>
        <v>1487441.4295653387</v>
      </c>
    </row>
    <row r="27" spans="1:11" x14ac:dyDescent="0.2">
      <c r="A27" t="s">
        <v>360</v>
      </c>
      <c r="B27" s="18">
        <f>B26*Assumptions!B94</f>
        <v>135000</v>
      </c>
      <c r="C27" s="18">
        <f>C26*Assumptions!B94</f>
        <v>185400</v>
      </c>
      <c r="D27" s="18">
        <f>D26*Assumptions!B94</f>
        <v>190962</v>
      </c>
      <c r="E27" s="18">
        <f>E26*Assumptions!B94</f>
        <v>234936.30500000002</v>
      </c>
      <c r="F27" s="18">
        <f>F26*Assumptions!B94</f>
        <v>241984.39414999998</v>
      </c>
      <c r="G27" s="18">
        <f>G26*Assumptions!B94</f>
        <v>249243.92597449996</v>
      </c>
      <c r="H27" s="18">
        <f>H26*Assumptions!B94</f>
        <v>298513.07413224992</v>
      </c>
      <c r="I27" s="18">
        <f>I26*Assumptions!B94</f>
        <v>307468.46635621751</v>
      </c>
      <c r="J27" s="18">
        <f>J26*Assumptions!B94</f>
        <v>361029.47319547052</v>
      </c>
      <c r="K27" s="18">
        <f>K26*Assumptions!B94</f>
        <v>371860.35739133466</v>
      </c>
    </row>
    <row r="28" spans="1:11" x14ac:dyDescent="0.2">
      <c r="A28" s="37" t="s">
        <v>361</v>
      </c>
      <c r="B28" s="38">
        <f>B26+B27</f>
        <v>675000</v>
      </c>
      <c r="C28" s="38">
        <f>C26+C27</f>
        <v>927000</v>
      </c>
      <c r="D28" s="38">
        <f>D26+D27</f>
        <v>954810</v>
      </c>
      <c r="E28" s="38">
        <f>E26+E27</f>
        <v>1174681.5250000001</v>
      </c>
      <c r="F28" s="38">
        <f>F26+F27</f>
        <v>1209921.9707499999</v>
      </c>
      <c r="G28" s="38">
        <f>G26+G27</f>
        <v>1246219.6298724997</v>
      </c>
      <c r="H28" s="38">
        <f>H26+H27</f>
        <v>1492565.3706612496</v>
      </c>
      <c r="I28" s="38">
        <f>I26+I27</f>
        <v>1537342.3317810874</v>
      </c>
      <c r="J28" s="38">
        <f>J26+J27</f>
        <v>1805147.3659773525</v>
      </c>
      <c r="K28" s="38">
        <f>K26+K27</f>
        <v>1859301.7869566733</v>
      </c>
    </row>
    <row r="30" spans="1:11" x14ac:dyDescent="0.2">
      <c r="A30" s="5" t="s">
        <v>362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">
      <c r="A31" t="s">
        <v>363</v>
      </c>
      <c r="B31" s="18">
        <f>Assumptions!B96*(1.05)^0</f>
        <v>60000</v>
      </c>
      <c r="C31" s="18">
        <f>Assumptions!B96*(1.05)^1</f>
        <v>63000</v>
      </c>
      <c r="D31" s="18">
        <f>Assumptions!B96*(1.05)^2</f>
        <v>66150</v>
      </c>
      <c r="E31" s="18">
        <f>Assumptions!B96*(1.05)^3</f>
        <v>69457.500000000015</v>
      </c>
      <c r="F31" s="18">
        <f>Assumptions!B96*(1.05)^4</f>
        <v>72930.375</v>
      </c>
      <c r="G31" s="18">
        <f>Assumptions!B96*(1.05)^5</f>
        <v>76576.893750000003</v>
      </c>
      <c r="H31" s="18">
        <f>Assumptions!B96*(1.05)^6</f>
        <v>80405.738437499997</v>
      </c>
      <c r="I31" s="18">
        <f>Assumptions!B96*(1.05)^7</f>
        <v>84426.025359375009</v>
      </c>
      <c r="J31" s="18">
        <f>Assumptions!B96*(1.05)^8</f>
        <v>88647.326627343748</v>
      </c>
      <c r="K31" s="18">
        <f>Assumptions!B96*(1.05)^9</f>
        <v>93079.692958710948</v>
      </c>
    </row>
    <row r="32" spans="1:11" x14ac:dyDescent="0.2">
      <c r="A32" t="s">
        <v>364</v>
      </c>
      <c r="B32" s="18">
        <f>Assumptions!B97*(1.05)^0</f>
        <v>18000</v>
      </c>
      <c r="C32" s="18">
        <f>Assumptions!B97*(1.05)^1</f>
        <v>18900</v>
      </c>
      <c r="D32" s="18">
        <f>Assumptions!B97*(1.05)^2</f>
        <v>19845</v>
      </c>
      <c r="E32" s="18">
        <f>Assumptions!B97*(1.05)^3</f>
        <v>20837.250000000004</v>
      </c>
      <c r="F32" s="18">
        <f>Assumptions!B97*(1.05)^4</f>
        <v>21879.112499999999</v>
      </c>
      <c r="G32" s="18">
        <f>Assumptions!B97*(1.05)^5</f>
        <v>22973.068125000002</v>
      </c>
      <c r="H32" s="18">
        <f>Assumptions!B97*(1.05)^6</f>
        <v>24121.721531250001</v>
      </c>
      <c r="I32" s="18">
        <f>Assumptions!B97*(1.05)^7</f>
        <v>25327.807607812505</v>
      </c>
      <c r="J32" s="18">
        <f>Assumptions!B97*(1.05)^8</f>
        <v>26594.197988203126</v>
      </c>
      <c r="K32" s="18">
        <f>Assumptions!B97*(1.05)^9</f>
        <v>27923.907887613284</v>
      </c>
    </row>
    <row r="33" spans="1:11" x14ac:dyDescent="0.2">
      <c r="A33" t="s">
        <v>365</v>
      </c>
      <c r="B33" s="18">
        <f>Assumptions!B98*(1.05)^0</f>
        <v>48000</v>
      </c>
      <c r="C33" s="18">
        <f>Assumptions!B98*(1.05)^1</f>
        <v>50400</v>
      </c>
      <c r="D33" s="18">
        <f>Assumptions!B98*(1.05)^2</f>
        <v>52920</v>
      </c>
      <c r="E33" s="18">
        <f>Assumptions!B98*(1.05)^3</f>
        <v>55566.000000000007</v>
      </c>
      <c r="F33" s="18">
        <f>Assumptions!B98*(1.05)^4</f>
        <v>58344.3</v>
      </c>
      <c r="G33" s="18">
        <f>Assumptions!B98*(1.05)^5</f>
        <v>61261.515000000007</v>
      </c>
      <c r="H33" s="18">
        <f>Assumptions!B98*(1.05)^6</f>
        <v>64324.590749999996</v>
      </c>
      <c r="I33" s="18">
        <f>Assumptions!B98*(1.05)^7</f>
        <v>67540.820287500013</v>
      </c>
      <c r="J33" s="18">
        <f>Assumptions!B98*(1.05)^8</f>
        <v>70917.861301875004</v>
      </c>
      <c r="K33" s="18">
        <f>Assumptions!B98*(1.05)^9</f>
        <v>74463.754366968758</v>
      </c>
    </row>
    <row r="34" spans="1:11" x14ac:dyDescent="0.2">
      <c r="A34" t="s">
        <v>366</v>
      </c>
      <c r="B34" s="18">
        <f>Assumptions!B99*(1.05)^0</f>
        <v>75000</v>
      </c>
      <c r="C34" s="18">
        <f>Assumptions!B99*(1.05)^1</f>
        <v>78750</v>
      </c>
      <c r="D34" s="18">
        <f>Assumptions!B99*(1.05)^2</f>
        <v>82687.5</v>
      </c>
      <c r="E34" s="18">
        <f>Assumptions!B99*(1.05)^3</f>
        <v>86821.875000000015</v>
      </c>
      <c r="F34" s="18">
        <f>Assumptions!B99*(1.05)^4</f>
        <v>91162.96875</v>
      </c>
      <c r="G34" s="18">
        <f>Assumptions!B99*(1.05)^5</f>
        <v>95721.117187500015</v>
      </c>
      <c r="H34" s="18">
        <f>Assumptions!B99*(1.05)^6</f>
        <v>100507.173046875</v>
      </c>
      <c r="I34" s="18">
        <f>Assumptions!B99*(1.05)^7</f>
        <v>105532.53169921877</v>
      </c>
      <c r="J34" s="18">
        <f>Assumptions!B99*(1.05)^8</f>
        <v>110809.15828417969</v>
      </c>
      <c r="K34" s="18">
        <f>Assumptions!B99*(1.05)^9</f>
        <v>116349.61619838869</v>
      </c>
    </row>
    <row r="35" spans="1:11" x14ac:dyDescent="0.2">
      <c r="A35" t="s">
        <v>367</v>
      </c>
      <c r="B35" s="18">
        <f>Assumptions!B100*(1.05)^0</f>
        <v>40000</v>
      </c>
      <c r="C35" s="18">
        <f>Assumptions!B100*(1.05)^1</f>
        <v>42000</v>
      </c>
      <c r="D35" s="18">
        <f>Assumptions!B100*(1.05)^2</f>
        <v>44100</v>
      </c>
      <c r="E35" s="18">
        <f>Assumptions!B100*(1.05)^3</f>
        <v>46305.000000000007</v>
      </c>
      <c r="F35" s="18">
        <f>Assumptions!B100*(1.05)^4</f>
        <v>48620.25</v>
      </c>
      <c r="G35" s="18">
        <f>Assumptions!B100*(1.05)^5</f>
        <v>51051.262500000004</v>
      </c>
      <c r="H35" s="18">
        <f>Assumptions!B100*(1.05)^6</f>
        <v>53603.825624999998</v>
      </c>
      <c r="I35" s="18">
        <f>Assumptions!B100*(1.05)^7</f>
        <v>56284.016906250006</v>
      </c>
      <c r="J35" s="18">
        <f>Assumptions!B100*(1.05)^8</f>
        <v>59098.217751562501</v>
      </c>
      <c r="K35" s="18">
        <f>Assumptions!B100*(1.05)^9</f>
        <v>62053.128639140632</v>
      </c>
    </row>
    <row r="36" spans="1:11" x14ac:dyDescent="0.2">
      <c r="A36" t="s">
        <v>368</v>
      </c>
      <c r="B36" s="18">
        <f>Assumptions!B101*(1.05)^0</f>
        <v>30000</v>
      </c>
      <c r="C36" s="18">
        <f>Assumptions!B101*(1.05)^1</f>
        <v>31500</v>
      </c>
      <c r="D36" s="18">
        <f>Assumptions!B101*(1.05)^2</f>
        <v>33075</v>
      </c>
      <c r="E36" s="18">
        <f>Assumptions!B101*(1.05)^3</f>
        <v>34728.750000000007</v>
      </c>
      <c r="F36" s="18">
        <f>Assumptions!B101*(1.05)^4</f>
        <v>36465.1875</v>
      </c>
      <c r="G36" s="18">
        <f>Assumptions!B101*(1.05)^5</f>
        <v>38288.446875000001</v>
      </c>
      <c r="H36" s="18">
        <f>Assumptions!B101*(1.05)^6</f>
        <v>40202.869218749998</v>
      </c>
      <c r="I36" s="18">
        <f>Assumptions!B101*(1.05)^7</f>
        <v>42213.012679687505</v>
      </c>
      <c r="J36" s="18">
        <f>Assumptions!B101*(1.05)^8</f>
        <v>44323.663313671874</v>
      </c>
      <c r="K36" s="18">
        <f>Assumptions!B101*(1.05)^9</f>
        <v>46539.846479355474</v>
      </c>
    </row>
    <row r="37" spans="1:11" x14ac:dyDescent="0.2">
      <c r="A37" t="s">
        <v>369</v>
      </c>
      <c r="B37" s="18">
        <f>Assumptions!B102*(1.05)^0</f>
        <v>25000</v>
      </c>
      <c r="C37" s="18">
        <f>Assumptions!B102*(1.05)^1</f>
        <v>26250</v>
      </c>
      <c r="D37" s="18">
        <f>Assumptions!B102*(1.05)^2</f>
        <v>27562.5</v>
      </c>
      <c r="E37" s="18">
        <f>Assumptions!B102*(1.05)^3</f>
        <v>28940.625000000004</v>
      </c>
      <c r="F37" s="18">
        <f>Assumptions!B102*(1.05)^4</f>
        <v>30387.65625</v>
      </c>
      <c r="G37" s="18">
        <f>Assumptions!B102*(1.05)^5</f>
        <v>31907.039062500004</v>
      </c>
      <c r="H37" s="18">
        <f>Assumptions!B102*(1.05)^6</f>
        <v>33502.391015624999</v>
      </c>
      <c r="I37" s="18">
        <f>Assumptions!B102*(1.05)^7</f>
        <v>35177.510566406258</v>
      </c>
      <c r="J37" s="18">
        <f>Assumptions!B102*(1.05)^8</f>
        <v>36936.386094726564</v>
      </c>
      <c r="K37" s="18">
        <f>Assumptions!B102*(1.05)^9</f>
        <v>38783.205399462895</v>
      </c>
    </row>
    <row r="38" spans="1:11" x14ac:dyDescent="0.2">
      <c r="A38" t="s">
        <v>370</v>
      </c>
      <c r="B38" s="18">
        <f>Assumptions!B103*(1.05)^0</f>
        <v>20000</v>
      </c>
      <c r="C38" s="18">
        <f>Assumptions!B103*(1.05)^1</f>
        <v>21000</v>
      </c>
      <c r="D38" s="18">
        <f>Assumptions!B103*(1.05)^2</f>
        <v>22050</v>
      </c>
      <c r="E38" s="18">
        <f>Assumptions!B103*(1.05)^3</f>
        <v>23152.500000000004</v>
      </c>
      <c r="F38" s="18">
        <f>Assumptions!B103*(1.05)^4</f>
        <v>24310.125</v>
      </c>
      <c r="G38" s="18">
        <f>Assumptions!B103*(1.05)^5</f>
        <v>25525.631250000002</v>
      </c>
      <c r="H38" s="18">
        <f>Assumptions!B103*(1.05)^6</f>
        <v>26801.912812499999</v>
      </c>
      <c r="I38" s="18">
        <f>Assumptions!B103*(1.05)^7</f>
        <v>28142.008453125003</v>
      </c>
      <c r="J38" s="18">
        <f>Assumptions!B103*(1.05)^8</f>
        <v>29549.10887578125</v>
      </c>
      <c r="K38" s="18">
        <f>Assumptions!B103*(1.05)^9</f>
        <v>31026.564319570316</v>
      </c>
    </row>
    <row r="39" spans="1:11" x14ac:dyDescent="0.2">
      <c r="A39" t="s">
        <v>371</v>
      </c>
      <c r="B39" s="18">
        <f>Assumptions!B104*(1.05)^0</f>
        <v>15000</v>
      </c>
      <c r="C39" s="18">
        <f>Assumptions!B104*(1.05)^1</f>
        <v>15750</v>
      </c>
      <c r="D39" s="18">
        <f>Assumptions!B104*(1.05)^2</f>
        <v>16537.5</v>
      </c>
      <c r="E39" s="18">
        <f>Assumptions!B104*(1.05)^3</f>
        <v>17364.375000000004</v>
      </c>
      <c r="F39" s="18">
        <f>Assumptions!B104*(1.05)^4</f>
        <v>18232.59375</v>
      </c>
      <c r="G39" s="18">
        <f>Assumptions!B104*(1.05)^5</f>
        <v>19144.223437500001</v>
      </c>
      <c r="H39" s="18">
        <f>Assumptions!B104*(1.05)^6</f>
        <v>20101.434609374999</v>
      </c>
      <c r="I39" s="18">
        <f>Assumptions!B104*(1.05)^7</f>
        <v>21106.506339843752</v>
      </c>
      <c r="J39" s="18">
        <f>Assumptions!B104*(1.05)^8</f>
        <v>22161.831656835937</v>
      </c>
      <c r="K39" s="18">
        <f>Assumptions!B104*(1.05)^9</f>
        <v>23269.923239677737</v>
      </c>
    </row>
    <row r="40" spans="1:11" x14ac:dyDescent="0.2">
      <c r="A40" s="35" t="s">
        <v>372</v>
      </c>
      <c r="B40" s="36">
        <f>SUM(B31:B39)</f>
        <v>331000</v>
      </c>
      <c r="C40" s="36">
        <f>SUM(C31:C39)</f>
        <v>347550</v>
      </c>
      <c r="D40" s="36">
        <f>SUM(D31:D39)</f>
        <v>364927.5</v>
      </c>
      <c r="E40" s="36">
        <f>SUM(E31:E39)</f>
        <v>383173.87500000006</v>
      </c>
      <c r="F40" s="36">
        <f>SUM(F31:F39)</f>
        <v>402332.56874999998</v>
      </c>
      <c r="G40" s="36">
        <f>SUM(G31:G39)</f>
        <v>422449.19718750007</v>
      </c>
      <c r="H40" s="36">
        <f>SUM(H31:H39)</f>
        <v>443571.65704687493</v>
      </c>
      <c r="I40" s="36">
        <f>SUM(I31:I39)</f>
        <v>465750.23989921878</v>
      </c>
      <c r="J40" s="36">
        <f>SUM(J31:J39)</f>
        <v>489037.75189417967</v>
      </c>
      <c r="K40" s="36">
        <f>SUM(K31:K39)</f>
        <v>513489.63948888873</v>
      </c>
    </row>
    <row r="41" spans="1:11" x14ac:dyDescent="0.2"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7" thickBot="1" x14ac:dyDescent="0.25">
      <c r="A42" s="31" t="s">
        <v>373</v>
      </c>
      <c r="B42" s="32">
        <f>B28+B40</f>
        <v>1006000</v>
      </c>
      <c r="C42" s="32">
        <f>C28+C40</f>
        <v>1274550</v>
      </c>
      <c r="D42" s="32">
        <f>D28+D40</f>
        <v>1319737.5</v>
      </c>
      <c r="E42" s="32">
        <f>E28+E40</f>
        <v>1557855.4000000001</v>
      </c>
      <c r="F42" s="32">
        <f>F28+F40</f>
        <v>1612254.5395</v>
      </c>
      <c r="G42" s="32">
        <f>G28+G40</f>
        <v>1668668.8270599998</v>
      </c>
      <c r="H42" s="32">
        <f>H28+H40</f>
        <v>1936137.0277081246</v>
      </c>
      <c r="I42" s="32">
        <f>I28+I40</f>
        <v>2003092.5716803062</v>
      </c>
      <c r="J42" s="32">
        <f>J28+J40</f>
        <v>2294185.1178715322</v>
      </c>
      <c r="K42" s="32">
        <f>K28+K40</f>
        <v>2372791.4264455619</v>
      </c>
    </row>
    <row r="43" spans="1:11" ht="17" thickTop="1" x14ac:dyDescent="0.2"/>
    <row r="44" spans="1:11" x14ac:dyDescent="0.2">
      <c r="A44" s="3" t="s">
        <v>374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2">
      <c r="A45" t="s">
        <v>375</v>
      </c>
      <c r="B45" s="18">
        <f>B13</f>
        <v>294447.25296000001</v>
      </c>
      <c r="C45" s="18">
        <f>C13</f>
        <v>582340.28114400001</v>
      </c>
      <c r="D45" s="18">
        <f>D13</f>
        <v>969874.24232838396</v>
      </c>
      <c r="E45" s="18">
        <f>E13</f>
        <v>1324865.6155314527</v>
      </c>
      <c r="F45" s="18">
        <f>F13</f>
        <v>1866585.3937180543</v>
      </c>
      <c r="G45" s="18">
        <f>G13</f>
        <v>2096243.8635523228</v>
      </c>
      <c r="H45" s="18">
        <f>H13</f>
        <v>2307192.5861853412</v>
      </c>
      <c r="I45" s="18">
        <f>I13</f>
        <v>2540925.2944226791</v>
      </c>
      <c r="J45" s="18">
        <f>J13</f>
        <v>2740737.1933681392</v>
      </c>
      <c r="K45" s="18">
        <f>K13</f>
        <v>2959847.7513891361</v>
      </c>
    </row>
    <row r="46" spans="1:11" x14ac:dyDescent="0.2">
      <c r="A46" t="s">
        <v>376</v>
      </c>
      <c r="B46" s="18">
        <f>B42</f>
        <v>1006000</v>
      </c>
      <c r="C46" s="18">
        <f>C42</f>
        <v>1274550</v>
      </c>
      <c r="D46" s="18">
        <f>D42</f>
        <v>1319737.5</v>
      </c>
      <c r="E46" s="18">
        <f>E42</f>
        <v>1557855.4000000001</v>
      </c>
      <c r="F46" s="18">
        <f>F42</f>
        <v>1612254.5395</v>
      </c>
      <c r="G46" s="18">
        <f>G42</f>
        <v>1668668.8270599998</v>
      </c>
      <c r="H46" s="18">
        <f>H42</f>
        <v>1936137.0277081246</v>
      </c>
      <c r="I46" s="18">
        <f>I42</f>
        <v>2003092.5716803062</v>
      </c>
      <c r="J46" s="18">
        <f>J42</f>
        <v>2294185.1178715322</v>
      </c>
      <c r="K46" s="18">
        <f>K42</f>
        <v>2372791.4264455619</v>
      </c>
    </row>
    <row r="47" spans="1:11" ht="17" thickBot="1" x14ac:dyDescent="0.25">
      <c r="A47" s="42" t="s">
        <v>377</v>
      </c>
      <c r="B47" s="43">
        <f>B45+B46</f>
        <v>1300447.25296</v>
      </c>
      <c r="C47" s="43">
        <f>C45+C46</f>
        <v>1856890.2811440001</v>
      </c>
      <c r="D47" s="43">
        <f>D45+D46</f>
        <v>2289611.742328384</v>
      </c>
      <c r="E47" s="43">
        <f>E45+E46</f>
        <v>2882721.0155314528</v>
      </c>
      <c r="F47" s="43">
        <f>F45+F46</f>
        <v>3478839.9332180545</v>
      </c>
      <c r="G47" s="43">
        <f>G45+G46</f>
        <v>3764912.6906123227</v>
      </c>
      <c r="H47" s="43">
        <f>H45+H46</f>
        <v>4243329.6138934661</v>
      </c>
      <c r="I47" s="43">
        <f>I45+I46</f>
        <v>4544017.8661029851</v>
      </c>
      <c r="J47" s="43">
        <f>J45+J46</f>
        <v>5034922.311239671</v>
      </c>
      <c r="K47" s="43">
        <f>K45+K46</f>
        <v>5332639.177834698</v>
      </c>
    </row>
    <row r="48" spans="1:11" ht="17" thickTop="1" x14ac:dyDescent="0.2"/>
    <row r="49" spans="1:11" x14ac:dyDescent="0.2">
      <c r="A49" t="s">
        <v>378</v>
      </c>
      <c r="B49" s="19">
        <f>IF('Revenue Build'!B78=0,0,B45/'Revenue Build'!B78)</f>
        <v>0.50350021664134692</v>
      </c>
      <c r="C49" s="19">
        <f>IF('Revenue Build'!C78=0,0,C45/'Revenue Build'!C78)</f>
        <v>0.48304807859498378</v>
      </c>
      <c r="D49" s="19">
        <f>IF('Revenue Build'!D78=0,0,D45/'Revenue Build'!D78)</f>
        <v>0.46859599613199576</v>
      </c>
      <c r="E49" s="19">
        <f>IF('Revenue Build'!E78=0,0,E45/'Revenue Build'!E78)</f>
        <v>0.46048475883000206</v>
      </c>
      <c r="F49" s="19">
        <f>IF('Revenue Build'!F78=0,0,F45/'Revenue Build'!F78)</f>
        <v>0.45184662938550818</v>
      </c>
      <c r="G49" s="19">
        <f>IF('Revenue Build'!G78=0,0,G45/'Revenue Build'!G78)</f>
        <v>0.44829070090275441</v>
      </c>
      <c r="H49" s="19">
        <f>IF('Revenue Build'!H78=0,0,H45/'Revenue Build'!H78)</f>
        <v>0.44390042204113611</v>
      </c>
      <c r="I49" s="19">
        <f>IF('Revenue Build'!I78=0,0,I45/'Revenue Build'!I78)</f>
        <v>0.43967452020484799</v>
      </c>
      <c r="J49" s="19">
        <f>IF('Revenue Build'!J78=0,0,J45/'Revenue Build'!J78)</f>
        <v>0.43588121559652371</v>
      </c>
      <c r="K49" s="19">
        <f>IF('Revenue Build'!K78=0,0,K45/'Revenue Build'!K78)</f>
        <v>0.42637806984198912</v>
      </c>
    </row>
    <row r="50" spans="1:11" x14ac:dyDescent="0.2">
      <c r="A50" t="s">
        <v>379</v>
      </c>
      <c r="B50" s="19">
        <f>IF('Revenue Build'!B78=0,0,B46/'Revenue Build'!B78)</f>
        <v>1.720244331877006</v>
      </c>
      <c r="C50" s="19">
        <f>IF('Revenue Build'!C78=0,0,C46/'Revenue Build'!C78)</f>
        <v>1.0572322549348001</v>
      </c>
      <c r="D50" s="19">
        <f>IF('Revenue Build'!D78=0,0,D46/'Revenue Build'!D78)</f>
        <v>0.63763288213593095</v>
      </c>
      <c r="E50" s="19">
        <f>IF('Revenue Build'!E78=0,0,E46/'Revenue Build'!E78)</f>
        <v>0.54146523221017651</v>
      </c>
      <c r="F50" s="19">
        <f>IF('Revenue Build'!F78=0,0,F46/'Revenue Build'!F78)</f>
        <v>0.39028044569312509</v>
      </c>
      <c r="G50" s="19">
        <f>IF('Revenue Build'!G78=0,0,G46/'Revenue Build'!G78)</f>
        <v>0.35685195366041572</v>
      </c>
      <c r="H50" s="19">
        <f>IF('Revenue Build'!H78=0,0,H46/'Revenue Build'!H78)</f>
        <v>0.37250988446963829</v>
      </c>
      <c r="I50" s="19">
        <f>IF('Revenue Build'!I78=0,0,I46/'Revenue Build'!I78)</f>
        <v>0.34660946833525014</v>
      </c>
      <c r="J50" s="19">
        <f>IF('Revenue Build'!J78=0,0,J46/'Revenue Build'!J78)</f>
        <v>0.36486249042812813</v>
      </c>
      <c r="K50" s="19">
        <f>IF('Revenue Build'!K78=0,0,K46/'Revenue Build'!K78)</f>
        <v>0.34181022590457832</v>
      </c>
    </row>
    <row r="51" spans="1:11" x14ac:dyDescent="0.2">
      <c r="A51" t="s">
        <v>380</v>
      </c>
      <c r="B51" s="19">
        <f>IF('Revenue Build'!B78=0,0,B47/'Revenue Build'!B78)</f>
        <v>2.2237445485183529</v>
      </c>
      <c r="C51" s="19">
        <f>IF('Revenue Build'!C78=0,0,C47/'Revenue Build'!C78)</f>
        <v>1.5402803335297839</v>
      </c>
      <c r="D51" s="19">
        <f>IF('Revenue Build'!D78=0,0,D47/'Revenue Build'!D78)</f>
        <v>1.1062288782679266</v>
      </c>
      <c r="E51" s="19">
        <f>IF('Revenue Build'!E78=0,0,E47/'Revenue Build'!E78)</f>
        <v>1.0019499910401786</v>
      </c>
      <c r="F51" s="19">
        <f>IF('Revenue Build'!F78=0,0,F47/'Revenue Build'!F78)</f>
        <v>0.84212707507863327</v>
      </c>
      <c r="G51" s="19">
        <f>IF('Revenue Build'!G78=0,0,G47/'Revenue Build'!G78)</f>
        <v>0.80514265456317013</v>
      </c>
      <c r="H51" s="19">
        <f>IF('Revenue Build'!H78=0,0,H47/'Revenue Build'!H78)</f>
        <v>0.8164103065107744</v>
      </c>
      <c r="I51" s="19">
        <f>IF('Revenue Build'!I78=0,0,I47/'Revenue Build'!I78)</f>
        <v>0.78628398854009807</v>
      </c>
      <c r="J51" s="19">
        <f>IF('Revenue Build'!J78=0,0,J47/'Revenue Build'!J78)</f>
        <v>0.80074370602465172</v>
      </c>
      <c r="K51" s="19">
        <f>IF('Revenue Build'!K78=0,0,K47/'Revenue Build'!K78)</f>
        <v>0.76818829574656744</v>
      </c>
    </row>
    <row r="53" spans="1:11" x14ac:dyDescent="0.2">
      <c r="A53" t="s">
        <v>381</v>
      </c>
      <c r="B53" s="18">
        <f>B28+B40*0.7</f>
        <v>906700</v>
      </c>
      <c r="C53" s="18">
        <f>C28+C40*0.7</f>
        <v>1170285</v>
      </c>
      <c r="D53" s="18">
        <f>D28+D40*0.7</f>
        <v>1210259.25</v>
      </c>
      <c r="E53" s="18">
        <f>E28+E40*0.7</f>
        <v>1442903.2375000003</v>
      </c>
      <c r="F53" s="18">
        <f>F28+F40*0.7</f>
        <v>1491554.7688749998</v>
      </c>
      <c r="G53" s="18">
        <f>G28+G40*0.7</f>
        <v>1541934.0679037496</v>
      </c>
      <c r="H53" s="18">
        <f>H28+H40*0.7</f>
        <v>1803065.5305940621</v>
      </c>
      <c r="I53" s="18">
        <f>I28+I40*0.7</f>
        <v>1863367.4997105405</v>
      </c>
      <c r="J53" s="18">
        <f>J28+J40*0.7</f>
        <v>2147473.7923032781</v>
      </c>
      <c r="K53" s="18">
        <f>K28+K40*0.7</f>
        <v>2218744.5345988953</v>
      </c>
    </row>
    <row r="54" spans="1:11" x14ac:dyDescent="0.2">
      <c r="A54" t="s">
        <v>382</v>
      </c>
      <c r="B54" s="18">
        <f>B45+B40*0.3</f>
        <v>393747.25296000001</v>
      </c>
      <c r="C54" s="18">
        <f>C45+C40*0.3</f>
        <v>686605.28114400001</v>
      </c>
      <c r="D54" s="18">
        <f>D45+D40*0.3</f>
        <v>1079352.492328384</v>
      </c>
      <c r="E54" s="18">
        <f>E45+E40*0.3</f>
        <v>1439817.7780314528</v>
      </c>
      <c r="F54" s="18">
        <f>F45+F40*0.3</f>
        <v>1987285.1643430542</v>
      </c>
      <c r="G54" s="18">
        <f>G45+G40*0.3</f>
        <v>2222978.622708573</v>
      </c>
      <c r="H54" s="18">
        <f>H45+H40*0.3</f>
        <v>2440264.0832994035</v>
      </c>
      <c r="I54" s="18">
        <f>I45+I40*0.3</f>
        <v>2680650.3663924448</v>
      </c>
      <c r="J54" s="18">
        <f>J45+J40*0.3</f>
        <v>2887448.5189363933</v>
      </c>
      <c r="K54" s="18">
        <f>K45+K40*0.3</f>
        <v>3113894.6432358027</v>
      </c>
    </row>
    <row r="55" spans="1:11" x14ac:dyDescent="0.2">
      <c r="A55" t="s">
        <v>383</v>
      </c>
      <c r="B55" s="19">
        <f>IF(B47=0,0,B53/B47)</f>
        <v>0.69722166580476364</v>
      </c>
      <c r="C55" s="19">
        <f>IF(C47=0,0,C53/C47)</f>
        <v>0.63023917561731557</v>
      </c>
      <c r="D55" s="19">
        <f>IF(D47=0,0,D53/D47)</f>
        <v>0.52858710829690547</v>
      </c>
      <c r="E55" s="19">
        <f>IF(E47=0,0,E53/E47)</f>
        <v>0.50053516442484791</v>
      </c>
      <c r="F55" s="19">
        <f>IF(F47=0,0,F53/F47)</f>
        <v>0.42875061730571118</v>
      </c>
      <c r="G55" s="19">
        <f>IF(G47=0,0,G53/G47)</f>
        <v>0.40955373858961136</v>
      </c>
      <c r="H55" s="19">
        <f>IF(H47=0,0,H53/H47)</f>
        <v>0.42491762239975028</v>
      </c>
      <c r="I55" s="19">
        <f>IF(I47=0,0,I53/I47)</f>
        <v>0.41007046068429992</v>
      </c>
      <c r="J55" s="19">
        <f>IF(J47=0,0,J53/J47)</f>
        <v>0.42651577513110406</v>
      </c>
      <c r="K55" s="19">
        <f>IF(K47=0,0,K53/K47)</f>
        <v>0.4160687533147161</v>
      </c>
    </row>
    <row r="56" spans="1:11" x14ac:dyDescent="0.2">
      <c r="A56" t="s">
        <v>384</v>
      </c>
      <c r="B56" s="40">
        <f>IF('Revenue Build'!B78=0,0,'Revenue Build'!B78/B53)</f>
        <v>0.64497700231609123</v>
      </c>
      <c r="C56" s="40">
        <f>IF('Revenue Build'!C78=0,0,'Revenue Build'!C78/C53)</f>
        <v>1.0301366395365232</v>
      </c>
      <c r="D56" s="40">
        <f>IF('Revenue Build'!D78=0,0,'Revenue Build'!D78/D53)</f>
        <v>1.7101666833938265</v>
      </c>
      <c r="E56" s="40">
        <f>IF('Revenue Build'!E78=0,0,'Revenue Build'!E78/E53)</f>
        <v>1.9939734007926775</v>
      </c>
      <c r="F56" s="40">
        <f>IF('Revenue Build'!F78=0,0,'Revenue Build'!F78/F53)</f>
        <v>2.7696035752494681</v>
      </c>
      <c r="G56" s="40">
        <f>IF('Revenue Build'!G78=0,0,'Revenue Build'!G78/G53)</f>
        <v>3.0326079568649491</v>
      </c>
      <c r="H56" s="40">
        <f>IF('Revenue Build'!H78=0,0,'Revenue Build'!H78/H53)</f>
        <v>2.882615905113731</v>
      </c>
      <c r="I56" s="40">
        <f>IF('Revenue Build'!I78=0,0,'Revenue Build'!I78/I53)</f>
        <v>3.1014307024851928</v>
      </c>
      <c r="J56" s="40">
        <f>IF('Revenue Build'!J78=0,0,'Revenue Build'!J78/J53)</f>
        <v>2.9280019905948134</v>
      </c>
      <c r="K56" s="40">
        <f>IF('Revenue Build'!K78=0,0,'Revenue Build'!K78/K53)</f>
        <v>3.1287237040739866</v>
      </c>
    </row>
  </sheetData>
  <mergeCells count="4">
    <mergeCell ref="A1:K1"/>
    <mergeCell ref="A4:K4"/>
    <mergeCell ref="A15:K15"/>
    <mergeCell ref="A44:K4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56BA-018D-6747-8790-50B647B1A6AA}">
  <sheetPr>
    <tabColor rgb="FF548235"/>
  </sheetPr>
  <dimension ref="A1:K120"/>
  <sheetViews>
    <sheetView workbookViewId="0">
      <pane ySplit="2" topLeftCell="A3" activePane="bottomLeft" state="frozen"/>
      <selection pane="bottomLeft" sqref="A1:K1"/>
    </sheetView>
  </sheetViews>
  <sheetFormatPr baseColWidth="10" defaultRowHeight="16" x14ac:dyDescent="0.2"/>
  <cols>
    <col min="1" max="1" width="41.6640625" customWidth="1"/>
    <col min="2" max="11" width="15.83203125" customWidth="1"/>
  </cols>
  <sheetData>
    <row r="1" spans="1:11" ht="19" x14ac:dyDescent="0.25">
      <c r="A1" s="1" t="s">
        <v>385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3"/>
      <c r="B2" s="14" t="s">
        <v>259</v>
      </c>
      <c r="C2" s="14" t="s">
        <v>260</v>
      </c>
      <c r="D2" s="14" t="s">
        <v>261</v>
      </c>
      <c r="E2" s="14" t="s">
        <v>262</v>
      </c>
      <c r="F2" s="14" t="s">
        <v>263</v>
      </c>
      <c r="G2" s="14" t="s">
        <v>264</v>
      </c>
      <c r="H2" s="14" t="s">
        <v>265</v>
      </c>
      <c r="I2" s="14" t="s">
        <v>266</v>
      </c>
      <c r="J2" s="14" t="s">
        <v>267</v>
      </c>
      <c r="K2" s="14" t="s">
        <v>268</v>
      </c>
    </row>
    <row r="4" spans="1:11" x14ac:dyDescent="0.2">
      <c r="A4" s="44" t="s">
        <v>386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x14ac:dyDescent="0.2">
      <c r="A5" t="s">
        <v>387</v>
      </c>
      <c r="B5" s="18">
        <f>'Revenue Build'!B20</f>
        <v>265097.44799999992</v>
      </c>
      <c r="C5" s="18">
        <f>'Revenue Build'!C20</f>
        <v>460846.94040000002</v>
      </c>
      <c r="D5" s="18">
        <f>'Revenue Build'!D20</f>
        <v>768382.19377919985</v>
      </c>
      <c r="E5" s="18">
        <f>'Revenue Build'!E20</f>
        <v>1000032.1884907201</v>
      </c>
      <c r="F5" s="18">
        <f>'Revenue Build'!F20</f>
        <v>1352494.438289074</v>
      </c>
      <c r="G5" s="18">
        <f>'Revenue Build'!G20</f>
        <v>1503162.3309637271</v>
      </c>
      <c r="H5" s="18">
        <f>'Revenue Build'!H20</f>
        <v>1665684.0003563988</v>
      </c>
      <c r="I5" s="18">
        <f>'Revenue Build'!I20</f>
        <v>1832755.8099915632</v>
      </c>
      <c r="J5" s="18">
        <f>'Revenue Build'!J20</f>
        <v>1933170.5677025933</v>
      </c>
      <c r="K5" s="18">
        <f>'Revenue Build'!K20</f>
        <v>2066507.0118649029</v>
      </c>
    </row>
    <row r="6" spans="1:11" x14ac:dyDescent="0.2">
      <c r="A6" t="s">
        <v>388</v>
      </c>
      <c r="B6" s="18">
        <f>'Cost Build'!B5</f>
        <v>59376.239999999983</v>
      </c>
      <c r="C6" s="18">
        <f>'Cost Build'!C5</f>
        <v>101929.212</v>
      </c>
      <c r="D6" s="18">
        <f>'Cost Build'!D5</f>
        <v>167979.34137599997</v>
      </c>
      <c r="E6" s="18">
        <f>'Cost Build'!E5</f>
        <v>216273.40202160002</v>
      </c>
      <c r="F6" s="18">
        <f>'Cost Build'!F5</f>
        <v>289590.08530692238</v>
      </c>
      <c r="G6" s="18">
        <f>'Cost Build'!G5</f>
        <v>321222.23308660166</v>
      </c>
      <c r="H6" s="18">
        <f>'Cost Build'!H5</f>
        <v>354491.67865628545</v>
      </c>
      <c r="I6" s="18">
        <f>'Cost Build'!I5</f>
        <v>389468.1909503722</v>
      </c>
      <c r="J6" s="18">
        <f>'Cost Build'!J5</f>
        <v>411181.04259585554</v>
      </c>
      <c r="K6" s="18">
        <f>'Cost Build'!K5</f>
        <v>439010.97901545308</v>
      </c>
    </row>
    <row r="7" spans="1:11" x14ac:dyDescent="0.2">
      <c r="A7" s="5" t="s">
        <v>389</v>
      </c>
      <c r="B7" s="20">
        <f>B5-B6</f>
        <v>205721.20799999993</v>
      </c>
      <c r="C7" s="20">
        <f>C5-C6</f>
        <v>358917.72840000002</v>
      </c>
      <c r="D7" s="20">
        <f>D5-D6</f>
        <v>600402.85240319988</v>
      </c>
      <c r="E7" s="20">
        <f>E5-E6</f>
        <v>783758.78646912007</v>
      </c>
      <c r="F7" s="20">
        <f>F5-F6</f>
        <v>1062904.3529821516</v>
      </c>
      <c r="G7" s="20">
        <f>G5-G6</f>
        <v>1181940.0978771255</v>
      </c>
      <c r="H7" s="20">
        <f>H5-H6</f>
        <v>1311192.3217001134</v>
      </c>
      <c r="I7" s="20">
        <f>I5-I6</f>
        <v>1443287.6190411909</v>
      </c>
      <c r="J7" s="20">
        <f>J5-J6</f>
        <v>1521989.5251067379</v>
      </c>
      <c r="K7" s="20">
        <f>K5-K6</f>
        <v>1627496.0328494499</v>
      </c>
    </row>
    <row r="8" spans="1:11" x14ac:dyDescent="0.2">
      <c r="A8" t="s">
        <v>390</v>
      </c>
      <c r="B8" s="19">
        <f>IF(B5=0,0,B7/B5)</f>
        <v>0.77602108036890638</v>
      </c>
      <c r="C8" s="19">
        <f>IF(C5=0,0,C7/C5)</f>
        <v>0.77882198390743618</v>
      </c>
      <c r="D8" s="19">
        <f>IF(D5=0,0,D7/D5)</f>
        <v>0.78138569225581245</v>
      </c>
      <c r="E8" s="19">
        <f>IF(E5=0,0,E7/E5)</f>
        <v>0.78373355926872046</v>
      </c>
      <c r="F8" s="19">
        <f>IF(F5=0,0,F7/F5)</f>
        <v>0.78588445385900563</v>
      </c>
      <c r="G8" s="19">
        <f>IF(G5=0,0,G7/G5)</f>
        <v>0.78630236637139828</v>
      </c>
      <c r="H8" s="19">
        <f>IF(H5=0,0,H7/H5)</f>
        <v>0.78717951389312957</v>
      </c>
      <c r="I8" s="19">
        <f>IF(I5=0,0,I7/I5)</f>
        <v>0.78749586342756428</v>
      </c>
      <c r="J8" s="19">
        <f>IF(J5=0,0,J7/J5)</f>
        <v>0.78730224354465073</v>
      </c>
      <c r="K8" s="19">
        <f>IF(K5=0,0,K7/K5)</f>
        <v>0.78755892116752557</v>
      </c>
    </row>
    <row r="9" spans="1:11" x14ac:dyDescent="0.2">
      <c r="A9" t="s">
        <v>391</v>
      </c>
      <c r="B9" s="18">
        <f>'Cost Build'!B42*IF('Revenue Build'!B78=0,0,'Revenue Build'!B20/'Revenue Build'!B78)</f>
        <v>456032.38231705915</v>
      </c>
      <c r="C9" s="18">
        <f>'Cost Build'!C42*IF('Revenue Build'!C78=0,0,'Revenue Build'!C20/'Revenue Build'!C78)</f>
        <v>487222.24997889542</v>
      </c>
      <c r="D9" s="18">
        <f>'Cost Build'!D42*IF('Revenue Build'!D78=0,0,'Revenue Build'!D20/'Revenue Build'!D78)</f>
        <v>489945.75280136056</v>
      </c>
      <c r="E9" s="18">
        <f>'Cost Build'!E42*IF('Revenue Build'!E78=0,0,'Revenue Build'!E20/'Revenue Build'!E78)</f>
        <v>541482.6611587787</v>
      </c>
      <c r="F9" s="18">
        <f>'Cost Build'!F42*IF('Revenue Build'!F78=0,0,'Revenue Build'!F20/'Revenue Build'!F78)</f>
        <v>527852.13217293262</v>
      </c>
      <c r="G9" s="18">
        <f>'Cost Build'!G42*IF('Revenue Build'!G78=0,0,'Revenue Build'!G20/'Revenue Build'!G78)</f>
        <v>536406.41447315039</v>
      </c>
      <c r="H9" s="18">
        <f>'Cost Build'!H42*IF('Revenue Build'!H78=0,0,'Revenue Build'!H20/'Revenue Build'!H78)</f>
        <v>620483.75453568704</v>
      </c>
      <c r="I9" s="18">
        <f>'Cost Build'!I42*IF('Revenue Build'!I78=0,0,'Revenue Build'!I20/'Revenue Build'!I78)</f>
        <v>635250.5168895165</v>
      </c>
      <c r="J9" s="18">
        <f>'Cost Build'!J42*IF('Revenue Build'!J78=0,0,'Revenue Build'!J20/'Revenue Build'!J78)</f>
        <v>705341.42775432637</v>
      </c>
      <c r="K9" s="18">
        <f>'Cost Build'!K42*IF('Revenue Build'!K78=0,0,'Revenue Build'!K20/'Revenue Build'!K78)</f>
        <v>706353.22855893755</v>
      </c>
    </row>
    <row r="10" spans="1:11" x14ac:dyDescent="0.2">
      <c r="A10" s="5" t="s">
        <v>392</v>
      </c>
      <c r="B10" s="20">
        <f>B7-B9</f>
        <v>-250311.17431705922</v>
      </c>
      <c r="C10" s="20">
        <f>C7-C9</f>
        <v>-128304.52157889539</v>
      </c>
      <c r="D10" s="20">
        <f>D7-D9</f>
        <v>110457.09960183932</v>
      </c>
      <c r="E10" s="20">
        <f>E7-E9</f>
        <v>242276.12531034136</v>
      </c>
      <c r="F10" s="20">
        <f>F7-F9</f>
        <v>535052.22080921894</v>
      </c>
      <c r="G10" s="20">
        <f>G7-G9</f>
        <v>645533.6834039751</v>
      </c>
      <c r="H10" s="20">
        <f>H7-H9</f>
        <v>690708.56716442632</v>
      </c>
      <c r="I10" s="20">
        <f>I7-I9</f>
        <v>808037.10215167445</v>
      </c>
      <c r="J10" s="20">
        <f>J7-J9</f>
        <v>816648.09735241148</v>
      </c>
      <c r="K10" s="20">
        <f>K7-K9</f>
        <v>921142.80429051234</v>
      </c>
    </row>
    <row r="11" spans="1:11" x14ac:dyDescent="0.2">
      <c r="A11" t="s">
        <v>393</v>
      </c>
      <c r="B11" s="19">
        <f>IF(B5=0,0,B10/B5)</f>
        <v>-0.94422325150809938</v>
      </c>
      <c r="C11" s="19">
        <f>IF(C5=0,0,C10/C5)</f>
        <v>-0.27841027102736382</v>
      </c>
      <c r="D11" s="19">
        <f>IF(D5=0,0,D10/D5)</f>
        <v>0.1437528101198815</v>
      </c>
      <c r="E11" s="19">
        <f>IF(E5=0,0,E10/E5)</f>
        <v>0.24226832705854406</v>
      </c>
      <c r="F11" s="19">
        <f>IF(F5=0,0,F10/F5)</f>
        <v>0.39560400816588059</v>
      </c>
      <c r="G11" s="19">
        <f>IF(G5=0,0,G10/G5)</f>
        <v>0.4294504127109825</v>
      </c>
      <c r="H11" s="19">
        <f>IF(H5=0,0,H10/H5)</f>
        <v>0.41466962942349123</v>
      </c>
      <c r="I11" s="19">
        <f>IF(I5=0,0,I10/I5)</f>
        <v>0.44088639509231409</v>
      </c>
      <c r="J11" s="19">
        <f>IF(J5=0,0,J10/J5)</f>
        <v>0.42243975311652265</v>
      </c>
      <c r="K11" s="19">
        <f>IF(K5=0,0,K10/K5)</f>
        <v>0.44574869526294725</v>
      </c>
    </row>
    <row r="13" spans="1:11" x14ac:dyDescent="0.2">
      <c r="A13" s="45" t="s">
        <v>394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1:11" x14ac:dyDescent="0.2">
      <c r="A14" t="s">
        <v>387</v>
      </c>
      <c r="B14" s="18">
        <f>'Revenue Build'!B38</f>
        <v>979.19999999999993</v>
      </c>
      <c r="C14" s="18">
        <f>'Revenue Build'!C38</f>
        <v>1815.4368000000002</v>
      </c>
      <c r="D14" s="18">
        <f>'Revenue Build'!D38</f>
        <v>63116.499839999997</v>
      </c>
      <c r="E14" s="18">
        <f>'Revenue Build'!E38</f>
        <v>118065.99345792001</v>
      </c>
      <c r="F14" s="18">
        <f>'Revenue Build'!F38</f>
        <v>205510.49113375999</v>
      </c>
      <c r="G14" s="18">
        <f>'Revenue Build'!G38</f>
        <v>281243.38645455008</v>
      </c>
      <c r="H14" s="18">
        <f>'Revenue Build'!H38</f>
        <v>367015.2960525672</v>
      </c>
      <c r="I14" s="18">
        <f>'Revenue Build'!I38</f>
        <v>462827.9011786562</v>
      </c>
      <c r="J14" s="18">
        <f>'Revenue Build'!J38</f>
        <v>552434.86459312437</v>
      </c>
      <c r="K14" s="18">
        <f>'Revenue Build'!K38</f>
        <v>708943.43731123919</v>
      </c>
    </row>
    <row r="15" spans="1:11" x14ac:dyDescent="0.2">
      <c r="A15" t="s">
        <v>395</v>
      </c>
      <c r="B15" s="18">
        <f>'Cost Build'!B6+'Cost Build'!B7+'Cost Build'!B8</f>
        <v>96000</v>
      </c>
      <c r="C15" s="18">
        <f>'Cost Build'!C6+'Cost Build'!C7+'Cost Build'!C8</f>
        <v>172800</v>
      </c>
      <c r="D15" s="18">
        <f>'Cost Build'!D6+'Cost Build'!D7+'Cost Build'!D8</f>
        <v>288000</v>
      </c>
      <c r="E15" s="18">
        <f>'Cost Build'!E6+'Cost Build'!E7+'Cost Build'!E8</f>
        <v>364800</v>
      </c>
      <c r="F15" s="18">
        <f>'Cost Build'!F6+'Cost Build'!F7+'Cost Build'!F8</f>
        <v>480000</v>
      </c>
      <c r="G15" s="18">
        <f>'Cost Build'!G6+'Cost Build'!G7+'Cost Build'!G8</f>
        <v>528000</v>
      </c>
      <c r="H15" s="18">
        <f>'Cost Build'!H6+'Cost Build'!H7+'Cost Build'!H8</f>
        <v>576000</v>
      </c>
      <c r="I15" s="18">
        <f>'Cost Build'!I6+'Cost Build'!I7+'Cost Build'!I8</f>
        <v>624000</v>
      </c>
      <c r="J15" s="18">
        <f>'Cost Build'!J6+'Cost Build'!J7+'Cost Build'!J8</f>
        <v>652800</v>
      </c>
      <c r="K15" s="18">
        <f>'Cost Build'!K6+'Cost Build'!K7+'Cost Build'!K8</f>
        <v>672000</v>
      </c>
    </row>
    <row r="16" spans="1:11" x14ac:dyDescent="0.2">
      <c r="A16" s="5" t="s">
        <v>389</v>
      </c>
      <c r="B16" s="20">
        <f>B14-B15</f>
        <v>-95020.800000000003</v>
      </c>
      <c r="C16" s="20">
        <f>C14-C15</f>
        <v>-170984.5632</v>
      </c>
      <c r="D16" s="20">
        <f>D14-D15</f>
        <v>-224883.50016</v>
      </c>
      <c r="E16" s="20">
        <f>E14-E15</f>
        <v>-246734.00654207999</v>
      </c>
      <c r="F16" s="20">
        <f>F14-F15</f>
        <v>-274489.50886624004</v>
      </c>
      <c r="G16" s="20">
        <f>G14-G15</f>
        <v>-246756.61354544992</v>
      </c>
      <c r="H16" s="20">
        <f>H14-H15</f>
        <v>-208984.7039474328</v>
      </c>
      <c r="I16" s="20">
        <f>I14-I15</f>
        <v>-161172.0988213438</v>
      </c>
      <c r="J16" s="20">
        <f>J14-J15</f>
        <v>-100365.13540687563</v>
      </c>
      <c r="K16" s="20">
        <f>K14-K15</f>
        <v>36943.437311239191</v>
      </c>
    </row>
    <row r="17" spans="1:11" x14ac:dyDescent="0.2">
      <c r="A17" t="s">
        <v>390</v>
      </c>
      <c r="B17" s="19">
        <f>IF(B14=0,0,B16/B14)</f>
        <v>-97.039215686274517</v>
      </c>
      <c r="C17" s="19">
        <f>IF(C14=0,0,C16/C14)</f>
        <v>-94.183704549781069</v>
      </c>
      <c r="D17" s="19">
        <f>IF(D14=0,0,D16/D14)</f>
        <v>-3.5629906716956503</v>
      </c>
      <c r="E17" s="19">
        <f>IF(E14=0,0,E16/E14)</f>
        <v>-2.0897974032634439</v>
      </c>
      <c r="F17" s="19">
        <f>IF(F14=0,0,F16/F14)</f>
        <v>-1.3356471844913449</v>
      </c>
      <c r="G17" s="19">
        <f>IF(G14=0,0,G16/G14)</f>
        <v>-0.8773774795423559</v>
      </c>
      <c r="H17" s="19">
        <f>IF(H14=0,0,H16/H14)</f>
        <v>-0.56941687770283056</v>
      </c>
      <c r="I17" s="19">
        <f>IF(I14=0,0,I16/I14)</f>
        <v>-0.34823332476476987</v>
      </c>
      <c r="J17" s="19">
        <f>IF(J14=0,0,J16/J14)</f>
        <v>-0.18167777205878541</v>
      </c>
      <c r="K17" s="19">
        <f>IF(K14=0,0,K16/K14)</f>
        <v>5.2110556875104193E-2</v>
      </c>
    </row>
    <row r="18" spans="1:11" x14ac:dyDescent="0.2">
      <c r="A18" t="s">
        <v>396</v>
      </c>
      <c r="B18" s="18">
        <f>'Cost Build'!B42*IF('Revenue Build'!B78=0,0,'Revenue Build'!B38/'Revenue Build'!B78)</f>
        <v>1684.463249773964</v>
      </c>
      <c r="C18" s="18">
        <f>'Cost Build'!C42*IF('Revenue Build'!C78=0,0,'Revenue Build'!C38/'Revenue Build'!C78)</f>
        <v>1919.3383417556176</v>
      </c>
      <c r="D18" s="18">
        <f>'Cost Build'!D42*IF('Revenue Build'!D78=0,0,'Revenue Build'!D38/'Revenue Build'!D78)</f>
        <v>40245.155703311219</v>
      </c>
      <c r="E18" s="18">
        <f>'Cost Build'!E42*IF('Revenue Build'!E78=0,0,'Revenue Build'!E38/'Revenue Build'!E78)</f>
        <v>63928.630563817831</v>
      </c>
      <c r="F18" s="18">
        <f>'Cost Build'!F42*IF('Revenue Build'!F78=0,0,'Revenue Build'!F38/'Revenue Build'!F78)</f>
        <v>80206.726074296879</v>
      </c>
      <c r="G18" s="18">
        <f>'Cost Build'!G42*IF('Revenue Build'!G78=0,0,'Revenue Build'!G38/'Revenue Build'!G78)</f>
        <v>100362.2519103775</v>
      </c>
      <c r="H18" s="18">
        <f>'Cost Build'!H42*IF('Revenue Build'!H78=0,0,'Revenue Build'!H38/'Revenue Build'!H78)</f>
        <v>136716.82553113188</v>
      </c>
      <c r="I18" s="18">
        <f>'Cost Build'!I42*IF('Revenue Build'!I78=0,0,'Revenue Build'!I38/'Revenue Build'!I78)</f>
        <v>160420.53275825371</v>
      </c>
      <c r="J18" s="18">
        <f>'Cost Build'!J42*IF('Revenue Build'!J78=0,0,'Revenue Build'!J38/'Revenue Build'!J78)</f>
        <v>201562.7604947731</v>
      </c>
      <c r="K18" s="18">
        <f>'Cost Build'!K42*IF('Revenue Build'!K78=0,0,'Revenue Build'!K38/'Revenue Build'!K78)</f>
        <v>242324.11646092293</v>
      </c>
    </row>
    <row r="19" spans="1:11" x14ac:dyDescent="0.2">
      <c r="A19" s="5" t="s">
        <v>392</v>
      </c>
      <c r="B19" s="20">
        <f>B16-B18</f>
        <v>-96705.263249773969</v>
      </c>
      <c r="C19" s="20">
        <f>C16-C18</f>
        <v>-172903.90154175562</v>
      </c>
      <c r="D19" s="20">
        <f>D16-D18</f>
        <v>-265128.6558633112</v>
      </c>
      <c r="E19" s="20">
        <f>E16-E18</f>
        <v>-310662.63710589783</v>
      </c>
      <c r="F19" s="20">
        <f>F16-F18</f>
        <v>-354696.2349405369</v>
      </c>
      <c r="G19" s="20">
        <f>G16-G18</f>
        <v>-347118.86545582744</v>
      </c>
      <c r="H19" s="20">
        <f>H16-H18</f>
        <v>-345701.52947856468</v>
      </c>
      <c r="I19" s="20">
        <f>I16-I18</f>
        <v>-321592.63157959748</v>
      </c>
      <c r="J19" s="20">
        <f>J16-J18</f>
        <v>-301927.89590164874</v>
      </c>
      <c r="K19" s="20">
        <f>K16-K18</f>
        <v>-205380.67914968374</v>
      </c>
    </row>
    <row r="20" spans="1:11" x14ac:dyDescent="0.2">
      <c r="A20" t="s">
        <v>393</v>
      </c>
      <c r="B20" s="19">
        <f>IF(B14=0,0,B19/B14)</f>
        <v>-98.759460018151529</v>
      </c>
      <c r="C20" s="19">
        <f>IF(C14=0,0,C19/C14)</f>
        <v>-95.240936804715872</v>
      </c>
      <c r="D20" s="19">
        <f>IF(D14=0,0,D19/D14)</f>
        <v>-4.2006235538315808</v>
      </c>
      <c r="E20" s="19">
        <f>IF(E14=0,0,E19/E14)</f>
        <v>-2.6312626354736204</v>
      </c>
      <c r="F20" s="19">
        <f>IF(F14=0,0,F19/F14)</f>
        <v>-1.7259276301844699</v>
      </c>
      <c r="G20" s="19">
        <f>IF(G14=0,0,G19/G14)</f>
        <v>-1.2342294332027717</v>
      </c>
      <c r="H20" s="19">
        <f>IF(H14=0,0,H19/H14)</f>
        <v>-0.94192676217246873</v>
      </c>
      <c r="I20" s="19">
        <f>IF(I14=0,0,I19/I14)</f>
        <v>-0.69484279310001995</v>
      </c>
      <c r="J20" s="19">
        <f>IF(J14=0,0,J19/J14)</f>
        <v>-0.54654026248691356</v>
      </c>
      <c r="K20" s="19">
        <f>IF(K14=0,0,K19/K14)</f>
        <v>-0.28969966902947414</v>
      </c>
    </row>
    <row r="22" spans="1:11" x14ac:dyDescent="0.2">
      <c r="A22" s="46" t="s">
        <v>397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spans="1:11" x14ac:dyDescent="0.2">
      <c r="A23" t="s">
        <v>387</v>
      </c>
      <c r="B23" s="18">
        <f>'Revenue Build'!B56</f>
        <v>131224</v>
      </c>
      <c r="C23" s="18">
        <f>'Revenue Build'!C56</f>
        <v>196891.08000000002</v>
      </c>
      <c r="D23" s="18">
        <f>'Revenue Build'!D56</f>
        <v>328246.35399999999</v>
      </c>
      <c r="E23" s="18">
        <f>'Revenue Build'!E56</f>
        <v>394012.49354399997</v>
      </c>
      <c r="F23" s="18">
        <f>'Revenue Build'!F56</f>
        <v>525510.49113375996</v>
      </c>
      <c r="G23" s="18">
        <f>'Revenue Build'!G56</f>
        <v>525675.80586777278</v>
      </c>
      <c r="H23" s="18">
        <f>'Revenue Build'!H56</f>
        <v>525846.080043806</v>
      </c>
      <c r="I23" s="18">
        <f>'Revenue Build'!I56</f>
        <v>526021.46244512009</v>
      </c>
      <c r="J23" s="18">
        <f>'Revenue Build'!J56</f>
        <v>526202.10631847382</v>
      </c>
      <c r="K23" s="18">
        <f>'Revenue Build'!K56</f>
        <v>526388.16950802796</v>
      </c>
    </row>
    <row r="24" spans="1:11" x14ac:dyDescent="0.2">
      <c r="A24" t="s">
        <v>398</v>
      </c>
      <c r="B24" s="18">
        <f>'Cost Build'!B9</f>
        <v>30000</v>
      </c>
      <c r="C24" s="18">
        <f>'Cost Build'!C9</f>
        <v>45000</v>
      </c>
      <c r="D24" s="18">
        <f>'Cost Build'!D9</f>
        <v>75000</v>
      </c>
      <c r="E24" s="18">
        <f>'Cost Build'!E9</f>
        <v>90000</v>
      </c>
      <c r="F24" s="18">
        <f>'Cost Build'!F9</f>
        <v>120000</v>
      </c>
      <c r="G24" s="18">
        <f>'Cost Build'!G9</f>
        <v>120000</v>
      </c>
      <c r="H24" s="18">
        <f>'Cost Build'!H9</f>
        <v>120000</v>
      </c>
      <c r="I24" s="18">
        <f>'Cost Build'!I9</f>
        <v>120000</v>
      </c>
      <c r="J24" s="18">
        <f>'Cost Build'!J9</f>
        <v>120000</v>
      </c>
      <c r="K24" s="18">
        <f>'Cost Build'!K9</f>
        <v>120000</v>
      </c>
    </row>
    <row r="25" spans="1:11" x14ac:dyDescent="0.2">
      <c r="A25" s="5" t="s">
        <v>389</v>
      </c>
      <c r="B25" s="20">
        <f>B23-B24</f>
        <v>101224</v>
      </c>
      <c r="C25" s="20">
        <f>C23-C24</f>
        <v>151891.08000000002</v>
      </c>
      <c r="D25" s="20">
        <f>D23-D24</f>
        <v>253246.35399999999</v>
      </c>
      <c r="E25" s="20">
        <f>E23-E24</f>
        <v>304012.49354399997</v>
      </c>
      <c r="F25" s="20">
        <f>F23-F24</f>
        <v>405510.49113375996</v>
      </c>
      <c r="G25" s="20">
        <f>G23-G24</f>
        <v>405675.80586777278</v>
      </c>
      <c r="H25" s="20">
        <f>H23-H24</f>
        <v>405846.080043806</v>
      </c>
      <c r="I25" s="20">
        <f>I23-I24</f>
        <v>406021.46244512009</v>
      </c>
      <c r="J25" s="20">
        <f>J23-J24</f>
        <v>406202.10631847382</v>
      </c>
      <c r="K25" s="20">
        <f>K23-K24</f>
        <v>406388.16950802796</v>
      </c>
    </row>
    <row r="26" spans="1:11" x14ac:dyDescent="0.2">
      <c r="A26" t="s">
        <v>390</v>
      </c>
      <c r="B26" s="19">
        <f>IF(B23=0,0,B25/B23)</f>
        <v>0.77138328354569285</v>
      </c>
      <c r="C26" s="19">
        <f>IF(C23=0,0,C25/C23)</f>
        <v>0.77144723874743337</v>
      </c>
      <c r="D26" s="19">
        <f>IF(D23=0,0,D25/D23)</f>
        <v>0.77151307520692214</v>
      </c>
      <c r="E26" s="19">
        <f>IF(E23=0,0,E25/E23)</f>
        <v>0.77158084711862174</v>
      </c>
      <c r="F26" s="19">
        <f>IF(F23=0,0,F25/F23)</f>
        <v>0.77165061016934866</v>
      </c>
      <c r="G26" s="19">
        <f>IF(G23=0,0,G25/G23)</f>
        <v>0.77172242157520088</v>
      </c>
      <c r="H26" s="19">
        <f>IF(H23=0,0,H25/H23)</f>
        <v>0.77179634011914033</v>
      </c>
      <c r="I26" s="19">
        <f>IF(I23=0,0,I25/I23)</f>
        <v>0.7718724261892268</v>
      </c>
      <c r="J26" s="19">
        <f>IF(J23=0,0,J25/J23)</f>
        <v>0.77195074181749423</v>
      </c>
      <c r="K26" s="19">
        <f>IF(K23=0,0,K25/K23)</f>
        <v>0.77203135071946205</v>
      </c>
    </row>
    <row r="27" spans="1:11" x14ac:dyDescent="0.2">
      <c r="A27" t="s">
        <v>396</v>
      </c>
      <c r="B27" s="18">
        <f>'Cost Build'!B42*IF('Revenue Build'!B78=0,0,'Revenue Build'!B56/'Revenue Build'!B78)</f>
        <v>225737.3422062282</v>
      </c>
      <c r="C27" s="18">
        <f>'Cost Build'!C42*IF('Revenue Build'!C78=0,0,'Revenue Build'!C56/'Revenue Build'!C78)</f>
        <v>208159.60048494814</v>
      </c>
      <c r="D27" s="18">
        <f>'Cost Build'!D42*IF('Revenue Build'!D78=0,0,'Revenue Build'!D56/'Revenue Build'!D78)</f>
        <v>209300.66875163105</v>
      </c>
      <c r="E27" s="18">
        <f>'Cost Build'!E42*IF('Revenue Build'!E78=0,0,'Revenue Build'!E56/'Revenue Build'!E78)</f>
        <v>213344.0663105126</v>
      </c>
      <c r="F27" s="18">
        <f>'Cost Build'!F42*IF('Revenue Build'!F78=0,0,'Revenue Build'!F56/'Revenue Build'!F78)</f>
        <v>205096.46869609688</v>
      </c>
      <c r="G27" s="18">
        <f>'Cost Build'!G42*IF('Revenue Build'!G78=0,0,'Revenue Build'!G56/'Revenue Build'!G78)</f>
        <v>187588.43831592816</v>
      </c>
      <c r="H27" s="18">
        <f>'Cost Build'!H42*IF('Revenue Build'!H78=0,0,'Revenue Build'!H56/'Revenue Build'!H78)</f>
        <v>195882.86252593031</v>
      </c>
      <c r="I27" s="18">
        <f>'Cost Build'!I42*IF('Revenue Build'!I78=0,0,'Revenue Build'!I56/'Revenue Build'!I78)</f>
        <v>182324.01943103381</v>
      </c>
      <c r="J27" s="18">
        <f>'Cost Build'!J42*IF('Revenue Build'!J78=0,0,'Revenue Build'!J56/'Revenue Build'!J78)</f>
        <v>191991.410979885</v>
      </c>
      <c r="K27" s="18">
        <f>'Cost Build'!K42*IF('Revenue Build'!K78=0,0,'Revenue Build'!K56/'Revenue Build'!K78)</f>
        <v>179924.85913303649</v>
      </c>
    </row>
    <row r="28" spans="1:11" x14ac:dyDescent="0.2">
      <c r="A28" s="5" t="s">
        <v>392</v>
      </c>
      <c r="B28" s="20">
        <f>B25-B27</f>
        <v>-124513.3422062282</v>
      </c>
      <c r="C28" s="20">
        <f>C25-C27</f>
        <v>-56268.520484948123</v>
      </c>
      <c r="D28" s="20">
        <f>D25-D27</f>
        <v>43945.685248368944</v>
      </c>
      <c r="E28" s="20">
        <f>E25-E27</f>
        <v>90668.427233487368</v>
      </c>
      <c r="F28" s="20">
        <f>F25-F27</f>
        <v>200414.02243766308</v>
      </c>
      <c r="G28" s="20">
        <f>G25-G27</f>
        <v>218087.36755184463</v>
      </c>
      <c r="H28" s="20">
        <f>H25-H27</f>
        <v>209963.21751787569</v>
      </c>
      <c r="I28" s="20">
        <f>I25-I27</f>
        <v>223697.44301408628</v>
      </c>
      <c r="J28" s="20">
        <f>J25-J27</f>
        <v>214210.69533858882</v>
      </c>
      <c r="K28" s="20">
        <f>K25-K27</f>
        <v>226463.31037499147</v>
      </c>
    </row>
    <row r="29" spans="1:11" x14ac:dyDescent="0.2">
      <c r="A29" t="s">
        <v>393</v>
      </c>
      <c r="B29" s="19">
        <f>IF(B23=0,0,B28/B23)</f>
        <v>-0.94886104833131291</v>
      </c>
      <c r="C29" s="19">
        <f>IF(C23=0,0,C28/C23)</f>
        <v>-0.28578501618736674</v>
      </c>
      <c r="D29" s="19">
        <f>IF(D23=0,0,D28/D23)</f>
        <v>0.13388019307099125</v>
      </c>
      <c r="E29" s="19">
        <f>IF(E23=0,0,E28/E23)</f>
        <v>0.23011561490844526</v>
      </c>
      <c r="F29" s="19">
        <f>IF(F23=0,0,F28/F23)</f>
        <v>0.38137016447622357</v>
      </c>
      <c r="G29" s="19">
        <f>IF(G23=0,0,G28/G23)</f>
        <v>0.4148704679147851</v>
      </c>
      <c r="H29" s="19">
        <f>IF(H23=0,0,H28/H23)</f>
        <v>0.3992864556495021</v>
      </c>
      <c r="I29" s="19">
        <f>IF(I23=0,0,I28/I23)</f>
        <v>0.42526295785397666</v>
      </c>
      <c r="J29" s="19">
        <f>IF(J23=0,0,J28/J23)</f>
        <v>0.40708825138936611</v>
      </c>
      <c r="K29" s="19">
        <f>IF(K23=0,0,K28/K23)</f>
        <v>0.43022112481488373</v>
      </c>
    </row>
    <row r="31" spans="1:11" x14ac:dyDescent="0.2">
      <c r="A31" s="47" t="s">
        <v>399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</row>
    <row r="32" spans="1:11" x14ac:dyDescent="0.2">
      <c r="A32" t="s">
        <v>387</v>
      </c>
      <c r="B32" s="18">
        <f>'Revenue Build'!B71</f>
        <v>187500</v>
      </c>
      <c r="C32" s="18">
        <f>'Revenue Build'!C71</f>
        <v>546000</v>
      </c>
      <c r="D32" s="18">
        <f>'Revenue Build'!D71</f>
        <v>910000</v>
      </c>
      <c r="E32" s="18">
        <f>'Revenue Build'!E71</f>
        <v>1365000</v>
      </c>
      <c r="F32" s="18">
        <f>'Revenue Build'!F71</f>
        <v>2047500</v>
      </c>
      <c r="G32" s="18">
        <f>'Revenue Build'!G71</f>
        <v>2366000</v>
      </c>
      <c r="H32" s="18">
        <f>'Revenue Build'!H71</f>
        <v>2639000</v>
      </c>
      <c r="I32" s="18">
        <f>'Revenue Build'!I71</f>
        <v>2957500</v>
      </c>
      <c r="J32" s="18">
        <f>'Revenue Build'!J71</f>
        <v>3276000</v>
      </c>
      <c r="K32" s="18">
        <f>'Revenue Build'!K71</f>
        <v>3640000</v>
      </c>
    </row>
    <row r="33" spans="1:11" x14ac:dyDescent="0.2">
      <c r="A33" t="s">
        <v>400</v>
      </c>
      <c r="B33" s="18">
        <f>'Cost Build'!B10+'Cost Build'!B11</f>
        <v>97375</v>
      </c>
      <c r="C33" s="18">
        <f>'Cost Build'!C10+'Cost Build'!C11</f>
        <v>238500.00000000003</v>
      </c>
      <c r="D33" s="18">
        <f>'Cost Build'!D10+'Cost Build'!D11</f>
        <v>397500</v>
      </c>
      <c r="E33" s="18">
        <f>'Cost Build'!E10+'Cost Build'!E11</f>
        <v>596250</v>
      </c>
      <c r="F33" s="18">
        <f>'Cost Build'!F10+'Cost Build'!F11</f>
        <v>894375.00000000012</v>
      </c>
      <c r="G33" s="18">
        <f>'Cost Build'!G10+'Cost Build'!G11</f>
        <v>1033500.0000000001</v>
      </c>
      <c r="H33" s="18">
        <f>'Cost Build'!H10+'Cost Build'!H11</f>
        <v>1152750</v>
      </c>
      <c r="I33" s="18">
        <f>'Cost Build'!I10+'Cost Build'!I11</f>
        <v>1291875</v>
      </c>
      <c r="J33" s="18">
        <f>'Cost Build'!J10+'Cost Build'!J11</f>
        <v>1431000</v>
      </c>
      <c r="K33" s="18">
        <f>'Cost Build'!K10+'Cost Build'!K11</f>
        <v>1590000</v>
      </c>
    </row>
    <row r="34" spans="1:11" x14ac:dyDescent="0.2">
      <c r="A34" s="5" t="s">
        <v>389</v>
      </c>
      <c r="B34" s="20">
        <f>B32-B33</f>
        <v>90125</v>
      </c>
      <c r="C34" s="20">
        <f>C32-C33</f>
        <v>307500</v>
      </c>
      <c r="D34" s="20">
        <f>D32-D33</f>
        <v>512500</v>
      </c>
      <c r="E34" s="20">
        <f>E32-E33</f>
        <v>768750</v>
      </c>
      <c r="F34" s="20">
        <f>F32-F33</f>
        <v>1153125</v>
      </c>
      <c r="G34" s="20">
        <f>G32-G33</f>
        <v>1332500</v>
      </c>
      <c r="H34" s="20">
        <f>H32-H33</f>
        <v>1486250</v>
      </c>
      <c r="I34" s="20">
        <f>I32-I33</f>
        <v>1665625</v>
      </c>
      <c r="J34" s="20">
        <f>J32-J33</f>
        <v>1845000</v>
      </c>
      <c r="K34" s="20">
        <f>K32-K33</f>
        <v>2050000</v>
      </c>
    </row>
    <row r="35" spans="1:11" x14ac:dyDescent="0.2">
      <c r="A35" t="s">
        <v>390</v>
      </c>
      <c r="B35" s="19">
        <f>IF(B32=0,0,B34/B32)</f>
        <v>0.48066666666666669</v>
      </c>
      <c r="C35" s="19">
        <f>IF(C32=0,0,C34/C32)</f>
        <v>0.56318681318681318</v>
      </c>
      <c r="D35" s="19">
        <f>IF(D32=0,0,D34/D32)</f>
        <v>0.56318681318681318</v>
      </c>
      <c r="E35" s="19">
        <f>IF(E32=0,0,E34/E32)</f>
        <v>0.56318681318681318</v>
      </c>
      <c r="F35" s="19">
        <f>IF(F32=0,0,F34/F32)</f>
        <v>0.56318681318681318</v>
      </c>
      <c r="G35" s="19">
        <f>IF(G32=0,0,G34/G32)</f>
        <v>0.56318681318681318</v>
      </c>
      <c r="H35" s="19">
        <f>IF(H32=0,0,H34/H32)</f>
        <v>0.56318681318681318</v>
      </c>
      <c r="I35" s="19">
        <f>IF(I32=0,0,I34/I32)</f>
        <v>0.56318681318681318</v>
      </c>
      <c r="J35" s="19">
        <f>IF(J32=0,0,J34/J32)</f>
        <v>0.56318681318681318</v>
      </c>
      <c r="K35" s="19">
        <f>IF(K32=0,0,K34/K32)</f>
        <v>0.56318681318681318</v>
      </c>
    </row>
    <row r="36" spans="1:11" x14ac:dyDescent="0.2">
      <c r="A36" t="s">
        <v>396</v>
      </c>
      <c r="B36" s="18">
        <f>'Cost Build'!B42*IF('Revenue Build'!B78=0,0,'Revenue Build'!B71/'Revenue Build'!B78)</f>
        <v>322545.81222693861</v>
      </c>
      <c r="C36" s="18">
        <f>'Cost Build'!C42*IF('Revenue Build'!C78=0,0,'Revenue Build'!C71/'Revenue Build'!C78)</f>
        <v>577248.81119440077</v>
      </c>
      <c r="D36" s="18">
        <f>'Cost Build'!D42*IF('Revenue Build'!D78=0,0,'Revenue Build'!D71/'Revenue Build'!D78)</f>
        <v>580245.92274369719</v>
      </c>
      <c r="E36" s="18">
        <f>'Cost Build'!E42*IF('Revenue Build'!E78=0,0,'Revenue Build'!E71/'Revenue Build'!E78)</f>
        <v>739100.04196689092</v>
      </c>
      <c r="F36" s="18">
        <f>'Cost Build'!F42*IF('Revenue Build'!F78=0,0,'Revenue Build'!F71/'Revenue Build'!F78)</f>
        <v>799099.21255667356</v>
      </c>
      <c r="G36" s="18">
        <f>'Cost Build'!G42*IF('Revenue Build'!G78=0,0,'Revenue Build'!G71/'Revenue Build'!G78)</f>
        <v>844311.72236054356</v>
      </c>
      <c r="H36" s="18">
        <f>'Cost Build'!H42*IF('Revenue Build'!H78=0,0,'Revenue Build'!H71/'Revenue Build'!H78)</f>
        <v>983053.58511537546</v>
      </c>
      <c r="I36" s="18">
        <f>'Cost Build'!I42*IF('Revenue Build'!I78=0,0,'Revenue Build'!I71/'Revenue Build'!I78)</f>
        <v>1025097.5026015023</v>
      </c>
      <c r="J36" s="18">
        <f>'Cost Build'!J42*IF('Revenue Build'!J78=0,0,'Revenue Build'!J71/'Revenue Build'!J78)</f>
        <v>1195289.5186425478</v>
      </c>
      <c r="K36" s="18">
        <f>'Cost Build'!K42*IF('Revenue Build'!K78=0,0,'Revenue Build'!K71/'Revenue Build'!K78)</f>
        <v>1244189.2222926652</v>
      </c>
    </row>
    <row r="37" spans="1:11" x14ac:dyDescent="0.2">
      <c r="A37" s="5" t="s">
        <v>392</v>
      </c>
      <c r="B37" s="20">
        <f>B34-B36</f>
        <v>-232420.81222693861</v>
      </c>
      <c r="C37" s="20">
        <f>C34-C36</f>
        <v>-269748.81119440077</v>
      </c>
      <c r="D37" s="20">
        <f>D34-D36</f>
        <v>-67745.922743697185</v>
      </c>
      <c r="E37" s="20">
        <f>E34-E36</f>
        <v>29649.958033109084</v>
      </c>
      <c r="F37" s="20">
        <f>F34-F36</f>
        <v>354025.78744332644</v>
      </c>
      <c r="G37" s="20">
        <f>G34-G36</f>
        <v>488188.27763945644</v>
      </c>
      <c r="H37" s="20">
        <f>H34-H36</f>
        <v>503196.41488462454</v>
      </c>
      <c r="I37" s="20">
        <f>I34-I36</f>
        <v>640527.49739849765</v>
      </c>
      <c r="J37" s="20">
        <f>J34-J36</f>
        <v>649710.48135745223</v>
      </c>
      <c r="K37" s="20">
        <f>K34-K36</f>
        <v>805810.77770733484</v>
      </c>
    </row>
    <row r="38" spans="1:11" x14ac:dyDescent="0.2">
      <c r="A38" t="s">
        <v>393</v>
      </c>
      <c r="B38" s="19">
        <f>IF(B32=0,0,B37/B32)</f>
        <v>-1.2395776652103392</v>
      </c>
      <c r="C38" s="19">
        <f>IF(C32=0,0,C37/C32)</f>
        <v>-0.49404544174798676</v>
      </c>
      <c r="D38" s="19">
        <f>IF(D32=0,0,D37/D32)</f>
        <v>-7.4446068949117788E-2</v>
      </c>
      <c r="E38" s="19">
        <f>IF(E32=0,0,E37/E32)</f>
        <v>2.1721580976636692E-2</v>
      </c>
      <c r="F38" s="19">
        <f>IF(F32=0,0,F37/F32)</f>
        <v>0.17290636749368812</v>
      </c>
      <c r="G38" s="19">
        <f>IF(G32=0,0,G37/G32)</f>
        <v>0.20633485952639749</v>
      </c>
      <c r="H38" s="19">
        <f>IF(H32=0,0,H37/H32)</f>
        <v>0.1906769287171749</v>
      </c>
      <c r="I38" s="19">
        <f>IF(I32=0,0,I37/I32)</f>
        <v>0.21657734485156302</v>
      </c>
      <c r="J38" s="19">
        <f>IF(J32=0,0,J37/J32)</f>
        <v>0.19832432275868506</v>
      </c>
      <c r="K38" s="19">
        <f>IF(K32=0,0,K37/K32)</f>
        <v>0.22137658728223486</v>
      </c>
    </row>
    <row r="40" spans="1:11" x14ac:dyDescent="0.2">
      <c r="A40" s="48" t="s">
        <v>401</v>
      </c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2">
      <c r="A41" t="s">
        <v>402</v>
      </c>
      <c r="B41" s="18">
        <f>'Revenue Build'!B78</f>
        <v>584800.64799999993</v>
      </c>
      <c r="C41" s="18">
        <f>'Revenue Build'!C78</f>
        <v>1205553.4572000001</v>
      </c>
      <c r="D41" s="18">
        <f>'Revenue Build'!D78</f>
        <v>2069745.0476191998</v>
      </c>
      <c r="E41" s="18">
        <f>'Revenue Build'!E78</f>
        <v>2877110.6754926401</v>
      </c>
      <c r="F41" s="18">
        <f>'Revenue Build'!F78</f>
        <v>4131015.4205565937</v>
      </c>
      <c r="G41" s="18">
        <f>'Revenue Build'!G78</f>
        <v>4676081.5232860502</v>
      </c>
      <c r="H41" s="18">
        <f>'Revenue Build'!H78</f>
        <v>5197545.3764527719</v>
      </c>
      <c r="I41" s="18">
        <f>'Revenue Build'!I78</f>
        <v>5779105.1736153392</v>
      </c>
      <c r="J41" s="18">
        <f>'Revenue Build'!J78</f>
        <v>6287807.5386141911</v>
      </c>
      <c r="K41" s="18">
        <f>'Revenue Build'!K78</f>
        <v>6941838.6186841698</v>
      </c>
    </row>
    <row r="42" spans="1:11" x14ac:dyDescent="0.2">
      <c r="A42" t="s">
        <v>403</v>
      </c>
      <c r="B42" s="18">
        <f>'Cost Build'!B13</f>
        <v>294447.25296000001</v>
      </c>
      <c r="C42" s="18">
        <f>'Cost Build'!C13</f>
        <v>582340.28114400001</v>
      </c>
      <c r="D42" s="18">
        <f>'Cost Build'!D13</f>
        <v>969874.24232838396</v>
      </c>
      <c r="E42" s="18">
        <f>'Cost Build'!E13</f>
        <v>1324865.6155314527</v>
      </c>
      <c r="F42" s="18">
        <f>'Cost Build'!F13</f>
        <v>1866585.3937180543</v>
      </c>
      <c r="G42" s="18">
        <f>'Cost Build'!G13</f>
        <v>2096243.8635523228</v>
      </c>
      <c r="H42" s="18">
        <f>'Cost Build'!H13</f>
        <v>2307192.5861853412</v>
      </c>
      <c r="I42" s="18">
        <f>'Cost Build'!I13</f>
        <v>2540925.2944226791</v>
      </c>
      <c r="J42" s="18">
        <f>'Cost Build'!J13</f>
        <v>2740737.1933681392</v>
      </c>
      <c r="K42" s="18">
        <f>'Cost Build'!K13</f>
        <v>2959847.7513891361</v>
      </c>
    </row>
    <row r="43" spans="1:11" x14ac:dyDescent="0.2">
      <c r="A43" s="5" t="s">
        <v>404</v>
      </c>
      <c r="B43" s="20">
        <f>B41-B42</f>
        <v>290353.39503999992</v>
      </c>
      <c r="C43" s="20">
        <f>C41-C42</f>
        <v>623213.17605600005</v>
      </c>
      <c r="D43" s="20">
        <f>D41-D42</f>
        <v>1099870.8052908159</v>
      </c>
      <c r="E43" s="20">
        <f>E41-E42</f>
        <v>1552245.0599611874</v>
      </c>
      <c r="F43" s="20">
        <f>F41-F42</f>
        <v>2264430.0268385392</v>
      </c>
      <c r="G43" s="20">
        <f>G41-G42</f>
        <v>2579837.6597337276</v>
      </c>
      <c r="H43" s="20">
        <f>H41-H42</f>
        <v>2890352.7902674307</v>
      </c>
      <c r="I43" s="20">
        <f>I41-I42</f>
        <v>3238179.8791926601</v>
      </c>
      <c r="J43" s="20">
        <f>J41-J42</f>
        <v>3547070.3452460519</v>
      </c>
      <c r="K43" s="20">
        <f>K41-K42</f>
        <v>3981990.8672950338</v>
      </c>
    </row>
    <row r="44" spans="1:11" x14ac:dyDescent="0.2">
      <c r="A44" t="s">
        <v>405</v>
      </c>
      <c r="B44" s="19">
        <f>IF(B41=0,0,B43/B41)</f>
        <v>0.49649978335865308</v>
      </c>
      <c r="C44" s="19">
        <f>IF(C41=0,0,C43/C41)</f>
        <v>0.51695192140501622</v>
      </c>
      <c r="D44" s="19">
        <f>IF(D41=0,0,D43/D41)</f>
        <v>0.53140400386800424</v>
      </c>
      <c r="E44" s="19">
        <f>IF(E41=0,0,E43/E41)</f>
        <v>0.53951524116999794</v>
      </c>
      <c r="F44" s="19">
        <f>IF(F41=0,0,F43/F41)</f>
        <v>0.54815337061449176</v>
      </c>
      <c r="G44" s="19">
        <f>IF(G41=0,0,G43/G41)</f>
        <v>0.55170929909724564</v>
      </c>
      <c r="H44" s="19">
        <f>IF(H41=0,0,H43/H41)</f>
        <v>0.55609957795886389</v>
      </c>
      <c r="I44" s="19">
        <f>IF(I41=0,0,I43/I41)</f>
        <v>0.56032547979515201</v>
      </c>
      <c r="J44" s="19">
        <f>IF(J41=0,0,J43/J41)</f>
        <v>0.56411878440347629</v>
      </c>
      <c r="K44" s="19">
        <f>IF(K41=0,0,K43/K41)</f>
        <v>0.57362193015801088</v>
      </c>
    </row>
    <row r="46" spans="1:11" x14ac:dyDescent="0.2">
      <c r="A46" t="s">
        <v>376</v>
      </c>
      <c r="B46" s="18">
        <f>'Cost Build'!B42</f>
        <v>1006000</v>
      </c>
      <c r="C46" s="18">
        <f>'Cost Build'!C42</f>
        <v>1274550</v>
      </c>
      <c r="D46" s="18">
        <f>'Cost Build'!D42</f>
        <v>1319737.5</v>
      </c>
      <c r="E46" s="18">
        <f>'Cost Build'!E42</f>
        <v>1557855.4000000001</v>
      </c>
      <c r="F46" s="18">
        <f>'Cost Build'!F42</f>
        <v>1612254.5395</v>
      </c>
      <c r="G46" s="18">
        <f>'Cost Build'!G42</f>
        <v>1668668.8270599998</v>
      </c>
      <c r="H46" s="18">
        <f>'Cost Build'!H42</f>
        <v>1936137.0277081246</v>
      </c>
      <c r="I46" s="18">
        <f>'Cost Build'!I42</f>
        <v>2003092.5716803062</v>
      </c>
      <c r="J46" s="18">
        <f>'Cost Build'!J42</f>
        <v>2294185.1178715322</v>
      </c>
      <c r="K46" s="18">
        <f>'Cost Build'!K42</f>
        <v>2372791.4264455619</v>
      </c>
    </row>
    <row r="47" spans="1:11" x14ac:dyDescent="0.2">
      <c r="A47" s="21" t="s">
        <v>406</v>
      </c>
      <c r="B47" s="22">
        <f>B43-B46</f>
        <v>-715646.60496000014</v>
      </c>
      <c r="C47" s="22">
        <f>C43-C46</f>
        <v>-651336.82394399995</v>
      </c>
      <c r="D47" s="22">
        <f>D43-D46</f>
        <v>-219866.69470918411</v>
      </c>
      <c r="E47" s="22">
        <f>E43-E46</f>
        <v>-5610.3400388127193</v>
      </c>
      <c r="F47" s="22">
        <f>F43-F46</f>
        <v>652175.48733853921</v>
      </c>
      <c r="G47" s="22">
        <f>G43-G46</f>
        <v>911168.83267372777</v>
      </c>
      <c r="H47" s="22">
        <f>H43-H46</f>
        <v>954215.76255930611</v>
      </c>
      <c r="I47" s="22">
        <f>I43-I46</f>
        <v>1235087.3075123539</v>
      </c>
      <c r="J47" s="22">
        <f>J43-J46</f>
        <v>1252885.2273745197</v>
      </c>
      <c r="K47" s="22">
        <f>K43-K46</f>
        <v>1609199.4408494718</v>
      </c>
    </row>
    <row r="48" spans="1:11" x14ac:dyDescent="0.2">
      <c r="A48" s="49" t="s">
        <v>407</v>
      </c>
      <c r="B48" s="50">
        <f>IF(B41=0,0,B47/B41)</f>
        <v>-1.2237445485183529</v>
      </c>
      <c r="C48" s="50">
        <f>IF(C41=0,0,C47/C41)</f>
        <v>-0.54028033352978377</v>
      </c>
      <c r="D48" s="50">
        <f>IF(D41=0,0,D47/D41)</f>
        <v>-0.10622887826792669</v>
      </c>
      <c r="E48" s="50">
        <f>IF(E41=0,0,E47/E41)</f>
        <v>-1.9499910401785552E-3</v>
      </c>
      <c r="F48" s="50">
        <f>IF(F41=0,0,F47/F41)</f>
        <v>0.1578729249213667</v>
      </c>
      <c r="G48" s="50">
        <f>IF(G41=0,0,G47/G41)</f>
        <v>0.19485734543682992</v>
      </c>
      <c r="H48" s="50">
        <f>IF(H41=0,0,H47/H41)</f>
        <v>0.1835896934892256</v>
      </c>
      <c r="I48" s="50">
        <f>IF(I41=0,0,I47/I41)</f>
        <v>0.21371601145990185</v>
      </c>
      <c r="J48" s="50">
        <f>IF(J41=0,0,J47/J41)</f>
        <v>0.19925629397534816</v>
      </c>
      <c r="K48" s="50">
        <f>IF(K41=0,0,K47/K41)</f>
        <v>0.23181170425343259</v>
      </c>
    </row>
    <row r="50" spans="1:11" x14ac:dyDescent="0.2">
      <c r="A50" t="s">
        <v>408</v>
      </c>
      <c r="B50" s="18">
        <f>B41*Assumptions!B120</f>
        <v>17544.019439999996</v>
      </c>
      <c r="C50" s="18">
        <f>C41*Assumptions!B120</f>
        <v>36166.603715999998</v>
      </c>
      <c r="D50" s="18">
        <f>D41*Assumptions!B120</f>
        <v>62092.351428575996</v>
      </c>
      <c r="E50" s="18">
        <f>E41*Assumptions!B120</f>
        <v>86313.320264779206</v>
      </c>
      <c r="F50" s="18">
        <f>F41*Assumptions!B120</f>
        <v>123930.46261669781</v>
      </c>
      <c r="G50" s="18">
        <f>G41*Assumptions!B120</f>
        <v>140282.44569858149</v>
      </c>
      <c r="H50" s="18">
        <f>H41*Assumptions!B120</f>
        <v>155926.36129358315</v>
      </c>
      <c r="I50" s="18">
        <f>I41*Assumptions!B120</f>
        <v>173373.15520846017</v>
      </c>
      <c r="J50" s="18">
        <f>J41*Assumptions!B120</f>
        <v>188634.22615842574</v>
      </c>
      <c r="K50" s="18">
        <f>K41*Assumptions!B120</f>
        <v>208255.15856052507</v>
      </c>
    </row>
    <row r="51" spans="1:11" x14ac:dyDescent="0.2">
      <c r="A51" s="5" t="s">
        <v>409</v>
      </c>
      <c r="B51" s="20">
        <f>B47-B50</f>
        <v>-733190.62440000009</v>
      </c>
      <c r="C51" s="20">
        <f>C47-C50</f>
        <v>-687503.42765999993</v>
      </c>
      <c r="D51" s="20">
        <f>D47-D50</f>
        <v>-281959.0461377601</v>
      </c>
      <c r="E51" s="20">
        <f>E47-E50</f>
        <v>-91923.660303591925</v>
      </c>
      <c r="F51" s="20">
        <f>F47-F50</f>
        <v>528245.02472184144</v>
      </c>
      <c r="G51" s="20">
        <f>G47-G50</f>
        <v>770886.38697514625</v>
      </c>
      <c r="H51" s="20">
        <f>H47-H50</f>
        <v>798289.40126572293</v>
      </c>
      <c r="I51" s="20">
        <f>I47-I50</f>
        <v>1061714.1523038936</v>
      </c>
      <c r="J51" s="20">
        <f>J47-J50</f>
        <v>1064251.001216094</v>
      </c>
      <c r="K51" s="20">
        <f>K47-K50</f>
        <v>1400944.2822889467</v>
      </c>
    </row>
    <row r="52" spans="1:11" x14ac:dyDescent="0.2">
      <c r="A52" t="s">
        <v>410</v>
      </c>
      <c r="B52" s="19">
        <f>IF(B41=0,0,B51/B41)</f>
        <v>-1.2537445485183529</v>
      </c>
      <c r="C52" s="19">
        <f>IF(C41=0,0,C51/C41)</f>
        <v>-0.5702803335297838</v>
      </c>
      <c r="D52" s="19">
        <f>IF(D41=0,0,D51/D41)</f>
        <v>-0.13622887826792668</v>
      </c>
      <c r="E52" s="19">
        <f>IF(E41=0,0,E51/E41)</f>
        <v>-3.1949991040178559E-2</v>
      </c>
      <c r="F52" s="19">
        <f>IF(F41=0,0,F51/F41)</f>
        <v>0.1278729249213667</v>
      </c>
      <c r="G52" s="19">
        <f>IF(G41=0,0,G51/G41)</f>
        <v>0.16485734543682992</v>
      </c>
      <c r="H52" s="19">
        <f>IF(H41=0,0,H51/H41)</f>
        <v>0.1535896934892256</v>
      </c>
      <c r="I52" s="19">
        <f>IF(I41=0,0,I51/I41)</f>
        <v>0.18371601145990182</v>
      </c>
      <c r="J52" s="19">
        <f>IF(J41=0,0,J51/J41)</f>
        <v>0.16925629397534819</v>
      </c>
      <c r="K52" s="19">
        <f>IF(K41=0,0,K51/K41)</f>
        <v>0.20181170425343259</v>
      </c>
    </row>
    <row r="54" spans="1:11" x14ac:dyDescent="0.2">
      <c r="A54" t="s">
        <v>411</v>
      </c>
      <c r="B54" s="18">
        <f>MAX(0,B51*Assumptions!B108)</f>
        <v>0</v>
      </c>
      <c r="C54" s="18">
        <f>MAX(0,C51*Assumptions!B108)</f>
        <v>0</v>
      </c>
      <c r="D54" s="18">
        <f>MAX(0,D51*Assumptions!B108)</f>
        <v>0</v>
      </c>
      <c r="E54" s="18">
        <f>MAX(0,E51*Assumptions!B108)</f>
        <v>0</v>
      </c>
      <c r="F54" s="18">
        <f>MAX(0,F51*Assumptions!B108)</f>
        <v>132061.25618046036</v>
      </c>
      <c r="G54" s="18">
        <f>MAX(0,G51*Assumptions!B108)</f>
        <v>192721.59674378656</v>
      </c>
      <c r="H54" s="18">
        <f>MAX(0,H51*Assumptions!B108)</f>
        <v>199572.35031643073</v>
      </c>
      <c r="I54" s="18">
        <f>MAX(0,I51*Assumptions!B108)</f>
        <v>265428.5380759734</v>
      </c>
      <c r="J54" s="18">
        <f>MAX(0,J51*Assumptions!B108)</f>
        <v>266062.7503040235</v>
      </c>
      <c r="K54" s="18">
        <f>MAX(0,K51*Assumptions!B108)</f>
        <v>350236.07057223667</v>
      </c>
    </row>
    <row r="55" spans="1:11" x14ac:dyDescent="0.2">
      <c r="A55" s="5" t="s">
        <v>412</v>
      </c>
      <c r="B55" s="20">
        <f>B51-B54</f>
        <v>-733190.62440000009</v>
      </c>
      <c r="C55" s="20">
        <f>C51-C54</f>
        <v>-687503.42765999993</v>
      </c>
      <c r="D55" s="20">
        <f>D51-D54</f>
        <v>-281959.0461377601</v>
      </c>
      <c r="E55" s="20">
        <f>E51-E54</f>
        <v>-91923.660303591925</v>
      </c>
      <c r="F55" s="20">
        <f>F51-F54</f>
        <v>396183.76854138111</v>
      </c>
      <c r="G55" s="20">
        <f>G51-G54</f>
        <v>578164.79023135966</v>
      </c>
      <c r="H55" s="20">
        <f>H51-H54</f>
        <v>598717.05094929226</v>
      </c>
      <c r="I55" s="20">
        <f>I51-I54</f>
        <v>796285.61422792019</v>
      </c>
      <c r="J55" s="20">
        <f>J51-J54</f>
        <v>798188.25091207051</v>
      </c>
      <c r="K55" s="20">
        <f>K51-K54</f>
        <v>1050708.2117167101</v>
      </c>
    </row>
    <row r="57" spans="1:11" x14ac:dyDescent="0.2">
      <c r="A57" t="s">
        <v>413</v>
      </c>
      <c r="B57" s="18">
        <f>B41*Assumptions!B118</f>
        <v>29240.032399999996</v>
      </c>
      <c r="C57" s="18">
        <f>C41*Assumptions!B118</f>
        <v>60277.672860000006</v>
      </c>
      <c r="D57" s="18">
        <f>D41*Assumptions!B118</f>
        <v>103487.25238096</v>
      </c>
      <c r="E57" s="18">
        <f>E41*Assumptions!B118</f>
        <v>143855.533774632</v>
      </c>
      <c r="F57" s="18">
        <f>F41*Assumptions!B118</f>
        <v>206550.7710278297</v>
      </c>
      <c r="G57" s="18">
        <f>G41*Assumptions!B118</f>
        <v>233804.07616430253</v>
      </c>
      <c r="H57" s="18">
        <f>H41*Assumptions!B118</f>
        <v>259877.26882263861</v>
      </c>
      <c r="I57" s="18">
        <f>I41*Assumptions!B118</f>
        <v>288955.25868076697</v>
      </c>
      <c r="J57" s="18">
        <f>J41*Assumptions!B118</f>
        <v>314390.37693070958</v>
      </c>
      <c r="K57" s="18">
        <f>K41*Assumptions!B118</f>
        <v>347091.9309342085</v>
      </c>
    </row>
    <row r="58" spans="1:11" x14ac:dyDescent="0.2">
      <c r="A58" t="s">
        <v>414</v>
      </c>
      <c r="B58" s="18">
        <f>B41*Assumptions!B119</f>
        <v>46784.051839999993</v>
      </c>
      <c r="C58" s="18">
        <f>(C41-B41)*Assumptions!B119</f>
        <v>49660.224736000011</v>
      </c>
      <c r="D58" s="18">
        <f>(D41-C41)*Assumptions!B119</f>
        <v>69135.32723353598</v>
      </c>
      <c r="E58" s="18">
        <f>(E41-D41)*Assumptions!B119</f>
        <v>64589.250229875222</v>
      </c>
      <c r="F58" s="18">
        <f>(F41-E41)*Assumptions!B119</f>
        <v>100312.37960511629</v>
      </c>
      <c r="G58" s="18">
        <f>(G41-F41)*Assumptions!B119</f>
        <v>43605.288218356523</v>
      </c>
      <c r="H58" s="18">
        <f>(H41-G41)*Assumptions!B119</f>
        <v>41717.108253337741</v>
      </c>
      <c r="I58" s="18">
        <f>(I41-H41)*Assumptions!B119</f>
        <v>46524.78377300538</v>
      </c>
      <c r="J58" s="18">
        <f>(J41-I41)*Assumptions!B119</f>
        <v>40696.189199908156</v>
      </c>
      <c r="K58" s="18">
        <f>(K41-J41)*Assumptions!B119</f>
        <v>52322.486405598298</v>
      </c>
    </row>
    <row r="59" spans="1:11" x14ac:dyDescent="0.2">
      <c r="A59" s="21" t="s">
        <v>415</v>
      </c>
      <c r="B59" s="22">
        <f>B55+B50-B57-B58</f>
        <v>-791670.68920000014</v>
      </c>
      <c r="C59" s="22">
        <f>C55+C50-C57-C58</f>
        <v>-761274.72154000006</v>
      </c>
      <c r="D59" s="22">
        <f>D55+D50-D57-D58</f>
        <v>-392489.27432368009</v>
      </c>
      <c r="E59" s="22">
        <f>E55+E50-E57-E58</f>
        <v>-214055.12404331996</v>
      </c>
      <c r="F59" s="22">
        <f>F55+F50-F57-F58</f>
        <v>213251.08052513297</v>
      </c>
      <c r="G59" s="22">
        <f>G55+G50-G57-G58</f>
        <v>441037.87154728209</v>
      </c>
      <c r="H59" s="22">
        <f>H55+H50-H57-H58</f>
        <v>453049.03516689909</v>
      </c>
      <c r="I59" s="22">
        <f>I55+I50-I57-I58</f>
        <v>634178.72698260809</v>
      </c>
      <c r="J59" s="22">
        <f>J55+J50-J57-J58</f>
        <v>631735.91093987843</v>
      </c>
      <c r="K59" s="22">
        <f>K55+K50-K57-K58</f>
        <v>859548.95293742849</v>
      </c>
    </row>
    <row r="60" spans="1:11" x14ac:dyDescent="0.2">
      <c r="A60" s="49" t="s">
        <v>416</v>
      </c>
      <c r="B60" s="50">
        <f>IF(B41=0,0,B59/B41)</f>
        <v>-1.353744548518353</v>
      </c>
      <c r="C60" s="50">
        <f>IF(C41=0,0,C59/C41)</f>
        <v>-0.63147321837401138</v>
      </c>
      <c r="D60" s="50">
        <f>IF(D41=0,0,D59/D41)</f>
        <v>-0.18963170114848457</v>
      </c>
      <c r="E60" s="50">
        <f>IF(E41=0,0,E59/E41)</f>
        <v>-7.4399336065397573E-2</v>
      </c>
      <c r="F60" s="50">
        <f>IF(F41=0,0,F59/F41)</f>
        <v>5.1621952187339094E-2</v>
      </c>
      <c r="G60" s="50">
        <f>IF(G41=0,0,G59/G41)</f>
        <v>9.4317832003354155E-2</v>
      </c>
      <c r="H60" s="50">
        <f>IF(H41=0,0,H59/H41)</f>
        <v>8.7165960535797504E-2</v>
      </c>
      <c r="I60" s="50">
        <f>IF(I41=0,0,I59/I41)</f>
        <v>0.10973649171120266</v>
      </c>
      <c r="J60" s="50">
        <f>IF(J41=0,0,J59/J41)</f>
        <v>0.10046998211384674</v>
      </c>
      <c r="K60" s="50">
        <f>IF(K41=0,0,K59/K41)</f>
        <v>0.12382151187207469</v>
      </c>
    </row>
    <row r="95" spans="1:11" x14ac:dyDescent="0.2">
      <c r="A95" s="148" t="s">
        <v>944</v>
      </c>
      <c r="B95" s="149"/>
      <c r="C95" s="149"/>
      <c r="D95" s="149"/>
      <c r="E95" s="149"/>
      <c r="F95" s="149"/>
      <c r="G95" s="149"/>
      <c r="H95" s="149"/>
      <c r="I95" s="149"/>
      <c r="J95" s="149"/>
      <c r="K95" s="149"/>
    </row>
    <row r="96" spans="1:11" x14ac:dyDescent="0.2">
      <c r="A96" t="s">
        <v>387</v>
      </c>
      <c r="B96" s="51">
        <f>'Revenue Build'!B78</f>
        <v>584800.64799999993</v>
      </c>
      <c r="C96" s="51">
        <f>'Revenue Build'!C78</f>
        <v>1205553.4572000001</v>
      </c>
      <c r="D96" s="51">
        <f>'Revenue Build'!D78</f>
        <v>2069745.0476191998</v>
      </c>
      <c r="E96" s="51">
        <f>'Revenue Build'!E78</f>
        <v>2877110.6754926401</v>
      </c>
      <c r="F96" s="51">
        <f>'Revenue Build'!F78</f>
        <v>4131015.4205565937</v>
      </c>
      <c r="G96" s="51">
        <f>'Revenue Build'!G78</f>
        <v>4676081.5232860502</v>
      </c>
      <c r="H96" s="51">
        <f>'Revenue Build'!H78</f>
        <v>5197545.3764527719</v>
      </c>
      <c r="I96" s="51">
        <f>'Revenue Build'!I78</f>
        <v>5779105.1736153392</v>
      </c>
      <c r="J96" s="51">
        <f>'Revenue Build'!J78</f>
        <v>6287807.5386141911</v>
      </c>
      <c r="K96" s="51">
        <f>'Revenue Build'!K78</f>
        <v>6941838.6186841698</v>
      </c>
    </row>
    <row r="97" spans="1:11" x14ac:dyDescent="0.2">
      <c r="A97" t="s">
        <v>945</v>
      </c>
      <c r="B97" s="51">
        <v>0</v>
      </c>
      <c r="C97" s="51">
        <f>C96-B96</f>
        <v>620752.80920000013</v>
      </c>
      <c r="D97" s="51">
        <f>D96-C96</f>
        <v>864191.59041919978</v>
      </c>
      <c r="E97" s="51">
        <f>E96-D96</f>
        <v>807365.62787344027</v>
      </c>
      <c r="F97" s="51">
        <f>F96-E96</f>
        <v>1253904.7450639536</v>
      </c>
      <c r="G97" s="51">
        <f>G96-F96</f>
        <v>545066.1027294565</v>
      </c>
      <c r="H97" s="51">
        <f>H96-G96</f>
        <v>521463.85316672176</v>
      </c>
      <c r="I97" s="51">
        <f>I96-H96</f>
        <v>581559.79716256727</v>
      </c>
      <c r="J97" s="51">
        <f>J96-I96</f>
        <v>508702.3649988519</v>
      </c>
      <c r="K97" s="51">
        <f>K96-J96</f>
        <v>654031.08006997872</v>
      </c>
    </row>
    <row r="98" spans="1:11" x14ac:dyDescent="0.2">
      <c r="A98" t="s">
        <v>946</v>
      </c>
      <c r="B98" s="19" t="s">
        <v>336</v>
      </c>
      <c r="C98" s="19">
        <f>IF(B96=0,0,C97/B96)</f>
        <v>1.0614776357087761</v>
      </c>
      <c r="D98" s="19">
        <f>IF(C96=0,0,D97/C96)</f>
        <v>0.71684219829318718</v>
      </c>
      <c r="E98" s="19">
        <f>IF(D96=0,0,E97/D96)</f>
        <v>0.39007974861548395</v>
      </c>
      <c r="F98" s="19">
        <f>IF(E96=0,0,F97/E96)</f>
        <v>0.43582082390669619</v>
      </c>
      <c r="G98" s="19">
        <f>IF(F96=0,0,G97/F96)</f>
        <v>0.13194482402973379</v>
      </c>
      <c r="H98" s="19">
        <f>IF(G96=0,0,H97/G96)</f>
        <v>0.11151727158090058</v>
      </c>
      <c r="I98" s="19">
        <f>IF(H96=0,0,I97/H96)</f>
        <v>0.11189124000673391</v>
      </c>
      <c r="J98" s="19">
        <f>IF(I96=0,0,J97/I96)</f>
        <v>8.802441722662295E-2</v>
      </c>
      <c r="K98" s="19">
        <f>IF(J96=0,0,K97/J96)</f>
        <v>0.10401576003296766</v>
      </c>
    </row>
    <row r="100" spans="1:11" x14ac:dyDescent="0.2">
      <c r="A100" t="s">
        <v>947</v>
      </c>
      <c r="B100" s="51">
        <f>'Cost Build'!B13</f>
        <v>294447.25296000001</v>
      </c>
      <c r="C100" s="51">
        <f>'Cost Build'!C13</f>
        <v>582340.28114400001</v>
      </c>
      <c r="D100" s="51">
        <f>'Cost Build'!D13</f>
        <v>969874.24232838396</v>
      </c>
      <c r="E100" s="51">
        <f>'Cost Build'!E13</f>
        <v>1324865.6155314527</v>
      </c>
      <c r="F100" s="51">
        <f>'Cost Build'!F13</f>
        <v>1866585.3937180543</v>
      </c>
      <c r="G100" s="51">
        <f>'Cost Build'!G13</f>
        <v>2096243.8635523228</v>
      </c>
      <c r="H100" s="51">
        <f>'Cost Build'!H13</f>
        <v>2307192.5861853412</v>
      </c>
      <c r="I100" s="51">
        <f>'Cost Build'!I13</f>
        <v>2540925.2944226791</v>
      </c>
      <c r="J100" s="51">
        <f>'Cost Build'!J13</f>
        <v>2740737.1933681392</v>
      </c>
      <c r="K100" s="51">
        <f>'Cost Build'!K13</f>
        <v>2959847.7513891361</v>
      </c>
    </row>
    <row r="101" spans="1:11" x14ac:dyDescent="0.2">
      <c r="A101" t="s">
        <v>948</v>
      </c>
      <c r="B101" s="51">
        <v>0</v>
      </c>
      <c r="C101" s="51">
        <f>C100-B100</f>
        <v>287893.028184</v>
      </c>
      <c r="D101" s="51">
        <f>D100-C100</f>
        <v>387533.96118438395</v>
      </c>
      <c r="E101" s="51">
        <f>E100-D100</f>
        <v>354991.37320306874</v>
      </c>
      <c r="F101" s="51">
        <f>F100-E100</f>
        <v>541719.77818660159</v>
      </c>
      <c r="G101" s="51">
        <f>G100-F100</f>
        <v>229658.46983426856</v>
      </c>
      <c r="H101" s="51">
        <f>H100-G100</f>
        <v>210948.72263301839</v>
      </c>
      <c r="I101" s="51">
        <f>I100-H100</f>
        <v>233732.70823733788</v>
      </c>
      <c r="J101" s="51">
        <f>J100-I100</f>
        <v>199811.8989454601</v>
      </c>
      <c r="K101" s="51">
        <f>K100-J100</f>
        <v>219110.55802099686</v>
      </c>
    </row>
    <row r="102" spans="1:11" x14ac:dyDescent="0.2">
      <c r="A102" t="s">
        <v>949</v>
      </c>
      <c r="B102" s="19" t="s">
        <v>336</v>
      </c>
      <c r="C102" s="19">
        <f>IF(B100=0,0,C101/B100)</f>
        <v>0.97774058100351713</v>
      </c>
      <c r="D102" s="19">
        <f>IF(C100=0,0,D101/C100)</f>
        <v>0.66547682468930103</v>
      </c>
      <c r="E102" s="19">
        <f>IF(D100=0,0,E101/D100)</f>
        <v>0.36601794099700846</v>
      </c>
      <c r="F102" s="19">
        <f>IF(E100=0,0,F101/E100)</f>
        <v>0.40888658580613679</v>
      </c>
      <c r="G102" s="19">
        <f>IF(F100=0,0,G101/F100)</f>
        <v>0.12303668002930822</v>
      </c>
      <c r="H102" s="19">
        <f>IF(G100=0,0,H101/G100)</f>
        <v>0.10063176632299921</v>
      </c>
      <c r="I102" s="19">
        <f>IF(H100=0,0,I101/H100)</f>
        <v>0.10130611100124334</v>
      </c>
      <c r="J102" s="19">
        <f>IF(I100=0,0,J101/I100)</f>
        <v>7.8637455175894558E-2</v>
      </c>
      <c r="K102" s="19">
        <f>IF(J100=0,0,K101/J100)</f>
        <v>7.9945847617636082E-2</v>
      </c>
    </row>
    <row r="103" spans="1:11" x14ac:dyDescent="0.2">
      <c r="A103" s="5" t="s">
        <v>950</v>
      </c>
      <c r="B103" s="74" t="s">
        <v>336</v>
      </c>
      <c r="C103" s="74">
        <f>IF(C97=0,0,(C97-C101)/C97)</f>
        <v>0.53621953228850583</v>
      </c>
      <c r="D103" s="74">
        <f>IF(D97=0,0,(D97-D101)/D97)</f>
        <v>0.55156476239672736</v>
      </c>
      <c r="E103" s="74">
        <f>IF(E97=0,0,(E97-E101)/E97)</f>
        <v>0.56030903354394979</v>
      </c>
      <c r="F103" s="74">
        <f>IF(F97=0,0,(F97-F101)/F97)</f>
        <v>0.5679737393776495</v>
      </c>
      <c r="G103" s="74">
        <f>IF(G97=0,0,(G97-G101)/G97)</f>
        <v>0.57865941638227403</v>
      </c>
      <c r="H103" s="74">
        <f>IF(H97=0,0,(H97-H101)/H97)</f>
        <v>0.59546817799166962</v>
      </c>
      <c r="I103" s="74">
        <f>IF(I97=0,0,(I97-I101)/I97)</f>
        <v>0.59809342155747225</v>
      </c>
      <c r="J103" s="74">
        <f>IF(J97=0,0,(J97-J101)/J97)</f>
        <v>0.60721256142398505</v>
      </c>
      <c r="K103" s="74">
        <f>IF(K97=0,0,(K97-K101)/K97)</f>
        <v>0.66498448667370225</v>
      </c>
    </row>
    <row r="105" spans="1:11" x14ac:dyDescent="0.2">
      <c r="A105" t="s">
        <v>951</v>
      </c>
      <c r="B105" s="51">
        <f>'Cost Build'!B47</f>
        <v>1300447.25296</v>
      </c>
      <c r="C105" s="51">
        <f>'Cost Build'!C47</f>
        <v>1856890.2811440001</v>
      </c>
      <c r="D105" s="51">
        <f>'Cost Build'!D47</f>
        <v>2289611.742328384</v>
      </c>
      <c r="E105" s="51">
        <f>'Cost Build'!E47</f>
        <v>2882721.0155314528</v>
      </c>
      <c r="F105" s="51">
        <f>'Cost Build'!F47</f>
        <v>3478839.9332180545</v>
      </c>
      <c r="G105" s="51">
        <f>'Cost Build'!G47</f>
        <v>3764912.6906123227</v>
      </c>
      <c r="H105" s="51">
        <f>'Cost Build'!H47</f>
        <v>4243329.6138934661</v>
      </c>
      <c r="I105" s="51">
        <f>'Cost Build'!I47</f>
        <v>4544017.8661029851</v>
      </c>
      <c r="J105" s="51">
        <f>'Cost Build'!J47</f>
        <v>5034922.311239671</v>
      </c>
      <c r="K105" s="51">
        <f>'Cost Build'!K47</f>
        <v>5332639.177834698</v>
      </c>
    </row>
    <row r="106" spans="1:11" x14ac:dyDescent="0.2">
      <c r="A106" t="s">
        <v>952</v>
      </c>
      <c r="B106" s="51">
        <v>0</v>
      </c>
      <c r="C106" s="51">
        <f>C105-B105</f>
        <v>556443.02818400017</v>
      </c>
      <c r="D106" s="51">
        <f>D105-C105</f>
        <v>432721.46118438384</v>
      </c>
      <c r="E106" s="51">
        <f>E105-D105</f>
        <v>593109.27320306888</v>
      </c>
      <c r="F106" s="51">
        <f>F105-E105</f>
        <v>596118.91768660164</v>
      </c>
      <c r="G106" s="51">
        <f>G105-F105</f>
        <v>286072.75739426818</v>
      </c>
      <c r="H106" s="51">
        <f>H105-G105</f>
        <v>478416.92328114342</v>
      </c>
      <c r="I106" s="51">
        <f>I105-H105</f>
        <v>300688.25220951904</v>
      </c>
      <c r="J106" s="51">
        <f>J105-I105</f>
        <v>490904.44513668586</v>
      </c>
      <c r="K106" s="51">
        <f>K105-J105</f>
        <v>297716.86659502704</v>
      </c>
    </row>
    <row r="107" spans="1:11" x14ac:dyDescent="0.2">
      <c r="A107" t="s">
        <v>953</v>
      </c>
      <c r="B107" s="19" t="s">
        <v>336</v>
      </c>
      <c r="C107" s="19">
        <f>IF(B105=0,0,C106/B105)</f>
        <v>0.42788588842604569</v>
      </c>
      <c r="D107" s="19">
        <f>IF(C105=0,0,D106/C105)</f>
        <v>0.23303555712391963</v>
      </c>
      <c r="E107" s="19">
        <f>IF(D105=0,0,E106/D105)</f>
        <v>0.25904360212614735</v>
      </c>
      <c r="F107" s="19">
        <f>IF(E105=0,0,F106/E105)</f>
        <v>0.20679036038341791</v>
      </c>
      <c r="G107" s="19">
        <f>IF(F105=0,0,G106/F105)</f>
        <v>8.2232227663789167E-2</v>
      </c>
      <c r="H107" s="19">
        <f>IF(G105=0,0,H106/G105)</f>
        <v>0.12707251471569558</v>
      </c>
      <c r="I107" s="19">
        <f>IF(H105=0,0,I106/H105)</f>
        <v>7.0861394133750213E-2</v>
      </c>
      <c r="J107" s="19">
        <f>IF(I105=0,0,J106/I105)</f>
        <v>0.10803312390091735</v>
      </c>
      <c r="K107" s="19">
        <f>IF(J105=0,0,K106/J105)</f>
        <v>5.9130379416266469E-2</v>
      </c>
    </row>
    <row r="108" spans="1:11" x14ac:dyDescent="0.2">
      <c r="A108" s="5" t="s">
        <v>954</v>
      </c>
      <c r="B108" s="74" t="s">
        <v>336</v>
      </c>
      <c r="C108" s="74">
        <f>IF(C97=0,0,(C97-C106)/C97)</f>
        <v>0.10359966167350847</v>
      </c>
      <c r="D108" s="74">
        <f>IF(D97=0,0,(D97-D106)/D97)</f>
        <v>0.49927601010965583</v>
      </c>
      <c r="E108" s="74">
        <f>IF(E97=0,0,(E97-E106)/E97)</f>
        <v>0.26537710706698237</v>
      </c>
      <c r="F108" s="74">
        <f>IF(F97=0,0,(F97-F106)/F97)</f>
        <v>0.52458994988794183</v>
      </c>
      <c r="G108" s="74">
        <f>IF(G97=0,0,(G97-G106)/G97)</f>
        <v>0.47515951558583647</v>
      </c>
      <c r="H108" s="74">
        <f>IF(H97=0,0,(H97-H106)/H97)</f>
        <v>8.255017030262965E-2</v>
      </c>
      <c r="I108" s="74">
        <f>IF(I97=0,0,(I97-I106)/I97)</f>
        <v>0.48296245084928791</v>
      </c>
      <c r="J108" s="74">
        <f>IF(J97=0,0,(J97-J106)/J97)</f>
        <v>3.4986902139144203E-2</v>
      </c>
      <c r="K108" s="74">
        <f>IF(K97=0,0,(K97-K106)/K97)</f>
        <v>0.54479706596944522</v>
      </c>
    </row>
    <row r="110" spans="1:11" x14ac:dyDescent="0.2">
      <c r="A110" s="35" t="s">
        <v>955</v>
      </c>
      <c r="B110" s="35"/>
      <c r="C110" s="35"/>
      <c r="D110" s="35"/>
      <c r="E110" s="35"/>
      <c r="F110" s="35"/>
      <c r="G110" s="35"/>
      <c r="H110" s="35"/>
      <c r="I110" s="35"/>
      <c r="J110" s="35"/>
      <c r="K110" s="35"/>
    </row>
    <row r="111" spans="1:11" x14ac:dyDescent="0.2">
      <c r="A111" s="5" t="s">
        <v>956</v>
      </c>
      <c r="B111" s="152">
        <f>IF('Cost Build'!B53=0,0,B96/'Cost Build'!B53)</f>
        <v>0.64497700231609123</v>
      </c>
      <c r="C111" s="152">
        <f>IF('Cost Build'!C53=0,0,C96/'Cost Build'!C53)</f>
        <v>1.0301366395365232</v>
      </c>
      <c r="D111" s="152">
        <f>IF('Cost Build'!D53=0,0,D96/'Cost Build'!D53)</f>
        <v>1.7101666833938265</v>
      </c>
      <c r="E111" s="152">
        <f>IF('Cost Build'!E53=0,0,E96/'Cost Build'!E53)</f>
        <v>1.9939734007926775</v>
      </c>
      <c r="F111" s="152">
        <f>IF('Cost Build'!F53=0,0,F96/'Cost Build'!F53)</f>
        <v>2.7696035752494681</v>
      </c>
      <c r="G111" s="152">
        <f>IF('Cost Build'!G53=0,0,G96/'Cost Build'!G53)</f>
        <v>3.0326079568649491</v>
      </c>
      <c r="H111" s="152">
        <f>IF('Cost Build'!H53=0,0,H96/'Cost Build'!H53)</f>
        <v>2.882615905113731</v>
      </c>
      <c r="I111" s="152">
        <f>IF('Cost Build'!I53=0,0,I96/'Cost Build'!I53)</f>
        <v>3.1014307024851928</v>
      </c>
      <c r="J111" s="152">
        <f>IF('Cost Build'!J53=0,0,J96/'Cost Build'!J53)</f>
        <v>2.9280019905948134</v>
      </c>
      <c r="K111" s="152">
        <f>IF('Cost Build'!K53=0,0,K96/'Cost Build'!K53)</f>
        <v>3.1287237040739866</v>
      </c>
    </row>
    <row r="112" spans="1:11" x14ac:dyDescent="0.2">
      <c r="A112" t="s">
        <v>957</v>
      </c>
      <c r="B112" s="40" t="s">
        <v>336</v>
      </c>
      <c r="C112" s="40">
        <f>IF(OR(B47=0,C98="N/A"),0,(C47-B47)/B47/C98)</f>
        <v>-8.4657914757570923E-2</v>
      </c>
      <c r="D112" s="40">
        <f>IF(OR(C47=0,D98="N/A"),0,(D47-C47)/C47/D98)</f>
        <v>-0.92410546733723076</v>
      </c>
      <c r="E112" s="40">
        <f>IF(OR(D47=0,E98="N/A"),0,(E47-D47)/D47/E98)</f>
        <v>-2.4981635068917667</v>
      </c>
      <c r="F112" s="40">
        <f>IF(OR(E47=0,F98="N/A"),0,(F47-E47)/E47/F98)</f>
        <v>-269.02172321771621</v>
      </c>
      <c r="G112" s="40">
        <f>IF(OR(F47=0,G98="N/A"),0,(G47-F47)/F47/G98)</f>
        <v>3.0097593733852985</v>
      </c>
      <c r="H112" s="40">
        <f>IF(OR(G47=0,H98="N/A"),0,(H47-G47)/G47/H98)</f>
        <v>0.42364412856784645</v>
      </c>
      <c r="I112" s="40">
        <f>IF(OR(H47=0,I98="N/A"),0,(I47-H47)/H47/I98)</f>
        <v>2.6306621121824079</v>
      </c>
      <c r="J112" s="40">
        <f>IF(OR(I47=0,J98="N/A"),0,(J47-I47)/I47/J98)</f>
        <v>0.16370744475412463</v>
      </c>
      <c r="K112" s="40">
        <f>IF(OR(J47=0,K98="N/A"),0,(K47-J47)/J47/K98)</f>
        <v>2.7341523577511069</v>
      </c>
    </row>
    <row r="113" spans="1:11" x14ac:dyDescent="0.2">
      <c r="A113" t="s">
        <v>958</v>
      </c>
      <c r="B113" s="19" t="s">
        <v>336</v>
      </c>
      <c r="C113" s="19">
        <f>IF(C108="N/A","N/A",C108-C48)</f>
        <v>0.6438799952032922</v>
      </c>
      <c r="D113" s="19">
        <f>IF(D108="N/A","N/A",D108-D48)</f>
        <v>0.60550488837758254</v>
      </c>
      <c r="E113" s="19">
        <f>IF(E108="N/A","N/A",E108-E48)</f>
        <v>0.26732709810716093</v>
      </c>
      <c r="F113" s="19">
        <f>IF(F108="N/A","N/A",F108-F48)</f>
        <v>0.3667170249665751</v>
      </c>
      <c r="G113" s="19">
        <f>IF(G108="N/A","N/A",G108-G48)</f>
        <v>0.28030217014900655</v>
      </c>
      <c r="H113" s="19">
        <f>IF(H108="N/A","N/A",H108-H48)</f>
        <v>-0.10103952318659595</v>
      </c>
      <c r="I113" s="19">
        <f>IF(I108="N/A","N/A",I108-I48)</f>
        <v>0.26924643938938608</v>
      </c>
      <c r="J113" s="19">
        <f>IF(J108="N/A","N/A",J108-J48)</f>
        <v>-0.16426939183620395</v>
      </c>
      <c r="K113" s="19">
        <f>IF(K108="N/A","N/A",K108-K48)</f>
        <v>0.31298536171601266</v>
      </c>
    </row>
    <row r="114" spans="1:11" x14ac:dyDescent="0.2">
      <c r="A114" s="5" t="s">
        <v>959</v>
      </c>
      <c r="B114" s="52">
        <f>IF(B44=0,0,'Cost Build'!B53/(B44))</f>
        <v>1826184.0798126461</v>
      </c>
      <c r="C114" s="52">
        <f>IF(C44=0,0,'Cost Build'!C53/(C44))</f>
        <v>2263817.8746280684</v>
      </c>
      <c r="D114" s="52">
        <f>IF(D44=0,0,'Cost Build'!D53/(D44))</f>
        <v>2277474.8424752499</v>
      </c>
      <c r="E114" s="52">
        <f>IF(E44=0,0,'Cost Build'!E53/(E44))</f>
        <v>2674443.8847935167</v>
      </c>
      <c r="F114" s="52">
        <f>IF(F44=0,0,'Cost Build'!F53/(F44))</f>
        <v>2721053.7211564253</v>
      </c>
      <c r="G114" s="52">
        <f>IF(G44=0,0,'Cost Build'!G53/(G44))</f>
        <v>2794830.6661257935</v>
      </c>
      <c r="H114" s="52">
        <f>IF(H44=0,0,'Cost Build'!H53/(H44))</f>
        <v>3242342.922129388</v>
      </c>
      <c r="I114" s="52">
        <f>IF(I44=0,0,'Cost Build'!I53/(I44))</f>
        <v>3325509.1315707513</v>
      </c>
      <c r="J114" s="52">
        <f>IF(J44=0,0,'Cost Build'!J53/(J44))</f>
        <v>3806775.8984025149</v>
      </c>
      <c r="K114" s="52">
        <f>IF(K44=0,0,'Cost Build'!K53/(K44))</f>
        <v>3867956.258206021</v>
      </c>
    </row>
    <row r="115" spans="1:11" x14ac:dyDescent="0.2">
      <c r="A115" t="s">
        <v>960</v>
      </c>
      <c r="B115" s="19">
        <f>IF(B96=0,0,B114/B96)</f>
        <v>3.1227463342561932</v>
      </c>
      <c r="C115" s="19">
        <f>IF(C96=0,0,C114/C96)</f>
        <v>1.8778245469810828</v>
      </c>
      <c r="D115" s="19">
        <f>IF(D96=0,0,D114/D96)</f>
        <v>1.1003649193870515</v>
      </c>
      <c r="E115" s="19">
        <f>IF(E96=0,0,E114/E96)</f>
        <v>0.9295589174148049</v>
      </c>
      <c r="F115" s="19">
        <f>IF(F96=0,0,F114/F96)</f>
        <v>0.65868883171339099</v>
      </c>
      <c r="G115" s="19">
        <f>IF(G96=0,0,G114/G96)</f>
        <v>0.59768647150569043</v>
      </c>
      <c r="H115" s="19">
        <f>IF(H96=0,0,H114/H96)</f>
        <v>0.62382195580603605</v>
      </c>
      <c r="I115" s="19">
        <f>IF(I96=0,0,I114/I96)</f>
        <v>0.57543668641876478</v>
      </c>
      <c r="J115" s="19">
        <f>IF(J96=0,0,J114/J96)</f>
        <v>0.6054218223163863</v>
      </c>
      <c r="K115" s="19">
        <f>IF(K96=0,0,K114/K96)</f>
        <v>0.55719478234416153</v>
      </c>
    </row>
    <row r="117" spans="1:11" x14ac:dyDescent="0.2">
      <c r="A117" s="35" t="s">
        <v>961</v>
      </c>
      <c r="B117" s="35"/>
      <c r="C117" s="35"/>
      <c r="D117" s="35"/>
      <c r="E117" s="35"/>
      <c r="F117" s="35"/>
      <c r="G117" s="35"/>
      <c r="H117" s="35"/>
      <c r="I117" s="35"/>
      <c r="J117" s="35"/>
      <c r="K117" s="35"/>
    </row>
    <row r="118" spans="1:11" x14ac:dyDescent="0.2">
      <c r="A118" t="s">
        <v>962</v>
      </c>
      <c r="B118" s="17">
        <v>0</v>
      </c>
      <c r="C118" s="17">
        <f>(C44-B44)*10000</f>
        <v>204.52138046363143</v>
      </c>
      <c r="D118" s="17">
        <f>(D44-C44)*10000</f>
        <v>144.52082462988014</v>
      </c>
      <c r="E118" s="17">
        <f>(E44-D44)*10000</f>
        <v>81.11237301993701</v>
      </c>
      <c r="F118" s="17">
        <f>(F44-E44)*10000</f>
        <v>86.381294444938248</v>
      </c>
      <c r="G118" s="17">
        <f>(G44-F44)*10000</f>
        <v>35.559284827538782</v>
      </c>
      <c r="H118" s="17">
        <f>(H44-G44)*10000</f>
        <v>43.902788616182463</v>
      </c>
      <c r="I118" s="17">
        <f>(I44-H44)*10000</f>
        <v>42.259018362881264</v>
      </c>
      <c r="J118" s="17">
        <f>(J44-I44)*10000</f>
        <v>37.933046083242772</v>
      </c>
      <c r="K118" s="17">
        <f>(K44-J44)*10000</f>
        <v>95.031457545345916</v>
      </c>
    </row>
    <row r="119" spans="1:11" x14ac:dyDescent="0.2">
      <c r="A119" t="s">
        <v>963</v>
      </c>
      <c r="B119" s="17">
        <v>0</v>
      </c>
      <c r="C119" s="17">
        <f>(C48-B48)*10000</f>
        <v>6834.6421498856917</v>
      </c>
      <c r="D119" s="17">
        <f>(D48-C48)*10000</f>
        <v>4340.5145526185706</v>
      </c>
      <c r="E119" s="17">
        <f>(E48-D48)*10000</f>
        <v>1042.7888722774815</v>
      </c>
      <c r="F119" s="17">
        <f>(F48-E48)*10000</f>
        <v>1598.2291596154528</v>
      </c>
      <c r="G119" s="17">
        <f>(G48-F48)*10000</f>
        <v>369.84420515463216</v>
      </c>
      <c r="H119" s="17">
        <f>(H48-G48)*10000</f>
        <v>-112.67651947604318</v>
      </c>
      <c r="I119" s="17">
        <f>(I48-H48)*10000</f>
        <v>301.26317970676246</v>
      </c>
      <c r="J119" s="17">
        <f>(J48-I48)*10000</f>
        <v>-144.59717484553687</v>
      </c>
      <c r="K119" s="17">
        <f>(K48-J48)*10000</f>
        <v>325.55410278084423</v>
      </c>
    </row>
    <row r="120" spans="1:11" x14ac:dyDescent="0.2">
      <c r="A120" t="s">
        <v>964</v>
      </c>
      <c r="B120" s="17">
        <v>0</v>
      </c>
      <c r="C120" s="17">
        <f>(C60-B60)*10000</f>
        <v>7222.7133014434166</v>
      </c>
      <c r="D120" s="17">
        <f>(D60-C60)*10000</f>
        <v>4418.4151722552679</v>
      </c>
      <c r="E120" s="17">
        <f>(E60-D60)*10000</f>
        <v>1152.3236508308701</v>
      </c>
      <c r="F120" s="17">
        <f>(F60-E60)*10000</f>
        <v>1260.2128825273667</v>
      </c>
      <c r="G120" s="17">
        <f>(G60-F60)*10000</f>
        <v>426.95879816015059</v>
      </c>
      <c r="H120" s="17">
        <f>(H60-G60)*10000</f>
        <v>-71.5187146755665</v>
      </c>
      <c r="I120" s="17">
        <f>(I60-H60)*10000</f>
        <v>225.70531175405154</v>
      </c>
      <c r="J120" s="17">
        <f>(J60-I60)*10000</f>
        <v>-92.665095973559204</v>
      </c>
      <c r="K120" s="17">
        <f>(K60-J60)*10000</f>
        <v>233.51529758227949</v>
      </c>
    </row>
  </sheetData>
  <mergeCells count="7">
    <mergeCell ref="A95:K95"/>
    <mergeCell ref="A1:K1"/>
    <mergeCell ref="A4:K4"/>
    <mergeCell ref="A13:K13"/>
    <mergeCell ref="A22:K22"/>
    <mergeCell ref="A31:K31"/>
    <mergeCell ref="A40:K40"/>
  </mergeCells>
  <conditionalFormatting sqref="B48:K4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0:K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8:K10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5:K1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EE17-5ABD-114D-9793-1B663EC37581}">
  <sheetPr>
    <tabColor rgb="FF1F3864"/>
  </sheetPr>
  <dimension ref="A1:K50"/>
  <sheetViews>
    <sheetView workbookViewId="0">
      <pane ySplit="2" topLeftCell="A3" activePane="bottomLeft" state="frozen"/>
      <selection pane="bottomLeft" sqref="A1:K1"/>
    </sheetView>
  </sheetViews>
  <sheetFormatPr baseColWidth="10" defaultRowHeight="16" x14ac:dyDescent="0.2"/>
  <cols>
    <col min="1" max="1" width="41.6640625" customWidth="1"/>
    <col min="2" max="11" width="15.83203125" customWidth="1"/>
  </cols>
  <sheetData>
    <row r="1" spans="1:11" ht="19" x14ac:dyDescent="0.25">
      <c r="A1" s="1" t="s">
        <v>417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3" t="s">
        <v>418</v>
      </c>
      <c r="B2" s="14" t="s">
        <v>259</v>
      </c>
      <c r="C2" s="14" t="s">
        <v>260</v>
      </c>
      <c r="D2" s="14" t="s">
        <v>261</v>
      </c>
      <c r="E2" s="14" t="s">
        <v>262</v>
      </c>
      <c r="F2" s="14" t="s">
        <v>263</v>
      </c>
      <c r="G2" s="14" t="s">
        <v>264</v>
      </c>
      <c r="H2" s="14" t="s">
        <v>265</v>
      </c>
      <c r="I2" s="14" t="s">
        <v>266</v>
      </c>
      <c r="J2" s="14" t="s">
        <v>267</v>
      </c>
      <c r="K2" s="14" t="s">
        <v>268</v>
      </c>
    </row>
    <row r="4" spans="1:11" x14ac:dyDescent="0.2">
      <c r="A4" s="48" t="s">
        <v>419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">
      <c r="A5" t="s">
        <v>420</v>
      </c>
      <c r="B5" s="51">
        <f>'Revenue Build'!B20</f>
        <v>265097.44799999992</v>
      </c>
      <c r="C5" s="51">
        <f>'Revenue Build'!C20</f>
        <v>460846.94040000002</v>
      </c>
      <c r="D5" s="51">
        <f>'Revenue Build'!D20</f>
        <v>768382.19377919985</v>
      </c>
      <c r="E5" s="51">
        <f>'Revenue Build'!E20</f>
        <v>1000032.1884907201</v>
      </c>
      <c r="F5" s="51">
        <f>'Revenue Build'!F20</f>
        <v>1352494.438289074</v>
      </c>
      <c r="G5" s="51">
        <f>'Revenue Build'!G20</f>
        <v>1503162.3309637271</v>
      </c>
      <c r="H5" s="51">
        <f>'Revenue Build'!H20</f>
        <v>1665684.0003563988</v>
      </c>
      <c r="I5" s="51">
        <f>'Revenue Build'!I20</f>
        <v>1832755.8099915632</v>
      </c>
      <c r="J5" s="51">
        <f>'Revenue Build'!J20</f>
        <v>1933170.5677025933</v>
      </c>
      <c r="K5" s="51">
        <f>'Revenue Build'!K20</f>
        <v>2066507.0118649029</v>
      </c>
    </row>
    <row r="6" spans="1:11" x14ac:dyDescent="0.2">
      <c r="A6" t="s">
        <v>421</v>
      </c>
      <c r="B6" s="51">
        <f>'Revenue Build'!B38</f>
        <v>979.19999999999993</v>
      </c>
      <c r="C6" s="51">
        <f>'Revenue Build'!C38</f>
        <v>1815.4368000000002</v>
      </c>
      <c r="D6" s="51">
        <f>'Revenue Build'!D38</f>
        <v>63116.499839999997</v>
      </c>
      <c r="E6" s="51">
        <f>'Revenue Build'!E38</f>
        <v>118065.99345792001</v>
      </c>
      <c r="F6" s="51">
        <f>'Revenue Build'!F38</f>
        <v>205510.49113375999</v>
      </c>
      <c r="G6" s="51">
        <f>'Revenue Build'!G38</f>
        <v>281243.38645455008</v>
      </c>
      <c r="H6" s="51">
        <f>'Revenue Build'!H38</f>
        <v>367015.2960525672</v>
      </c>
      <c r="I6" s="51">
        <f>'Revenue Build'!I38</f>
        <v>462827.9011786562</v>
      </c>
      <c r="J6" s="51">
        <f>'Revenue Build'!J38</f>
        <v>552434.86459312437</v>
      </c>
      <c r="K6" s="51">
        <f>'Revenue Build'!K38</f>
        <v>708943.43731123919</v>
      </c>
    </row>
    <row r="7" spans="1:11" x14ac:dyDescent="0.2">
      <c r="A7" t="s">
        <v>422</v>
      </c>
      <c r="B7" s="51">
        <f>'Revenue Build'!B56</f>
        <v>131224</v>
      </c>
      <c r="C7" s="51">
        <f>'Revenue Build'!C56</f>
        <v>196891.08000000002</v>
      </c>
      <c r="D7" s="51">
        <f>'Revenue Build'!D56</f>
        <v>328246.35399999999</v>
      </c>
      <c r="E7" s="51">
        <f>'Revenue Build'!E56</f>
        <v>394012.49354399997</v>
      </c>
      <c r="F7" s="51">
        <f>'Revenue Build'!F56</f>
        <v>525510.49113375996</v>
      </c>
      <c r="G7" s="51">
        <f>'Revenue Build'!G56</f>
        <v>525675.80586777278</v>
      </c>
      <c r="H7" s="51">
        <f>'Revenue Build'!H56</f>
        <v>525846.080043806</v>
      </c>
      <c r="I7" s="51">
        <f>'Revenue Build'!I56</f>
        <v>526021.46244512009</v>
      </c>
      <c r="J7" s="51">
        <f>'Revenue Build'!J56</f>
        <v>526202.10631847382</v>
      </c>
      <c r="K7" s="51">
        <f>'Revenue Build'!K56</f>
        <v>526388.16950802796</v>
      </c>
    </row>
    <row r="8" spans="1:11" x14ac:dyDescent="0.2">
      <c r="A8" t="s">
        <v>423</v>
      </c>
      <c r="B8" s="51">
        <f>'Revenue Build'!B71</f>
        <v>187500</v>
      </c>
      <c r="C8" s="51">
        <f>'Revenue Build'!C71</f>
        <v>546000</v>
      </c>
      <c r="D8" s="51">
        <f>'Revenue Build'!D71</f>
        <v>910000</v>
      </c>
      <c r="E8" s="51">
        <f>'Revenue Build'!E71</f>
        <v>1365000</v>
      </c>
      <c r="F8" s="51">
        <f>'Revenue Build'!F71</f>
        <v>2047500</v>
      </c>
      <c r="G8" s="51">
        <f>'Revenue Build'!G71</f>
        <v>2366000</v>
      </c>
      <c r="H8" s="51">
        <f>'Revenue Build'!H71</f>
        <v>2639000</v>
      </c>
      <c r="I8" s="51">
        <f>'Revenue Build'!I71</f>
        <v>2957500</v>
      </c>
      <c r="J8" s="51">
        <f>'Revenue Build'!J71</f>
        <v>3276000</v>
      </c>
      <c r="K8" s="51">
        <f>'Revenue Build'!K71</f>
        <v>3640000</v>
      </c>
    </row>
    <row r="9" spans="1:11" x14ac:dyDescent="0.2">
      <c r="A9" s="53" t="s">
        <v>330</v>
      </c>
      <c r="B9" s="54">
        <f>SUM(B5:B8)</f>
        <v>584800.64799999993</v>
      </c>
      <c r="C9" s="54">
        <f>SUM(C5:C8)</f>
        <v>1205553.4572000001</v>
      </c>
      <c r="D9" s="54">
        <f>SUM(D5:D8)</f>
        <v>2069745.0476191998</v>
      </c>
      <c r="E9" s="54">
        <f>SUM(E5:E8)</f>
        <v>2877110.6754926401</v>
      </c>
      <c r="F9" s="54">
        <f>SUM(F5:F8)</f>
        <v>4131015.4205565937</v>
      </c>
      <c r="G9" s="54">
        <f>SUM(G5:G8)</f>
        <v>4676081.5232860502</v>
      </c>
      <c r="H9" s="54">
        <f>SUM(H5:H8)</f>
        <v>5197545.3764527719</v>
      </c>
      <c r="I9" s="54">
        <f>SUM(I5:I8)</f>
        <v>5779105.1736153392</v>
      </c>
      <c r="J9" s="54">
        <f>SUM(J5:J8)</f>
        <v>6287807.5386141911</v>
      </c>
      <c r="K9" s="54">
        <f>SUM(K5:K8)</f>
        <v>6941838.6186841698</v>
      </c>
    </row>
    <row r="11" spans="1:11" x14ac:dyDescent="0.2">
      <c r="A11" t="s">
        <v>424</v>
      </c>
      <c r="B11" s="51">
        <f>'Cost Build'!B5</f>
        <v>59376.239999999983</v>
      </c>
      <c r="C11" s="51">
        <f>'Cost Build'!C5</f>
        <v>101929.212</v>
      </c>
      <c r="D11" s="51">
        <f>'Cost Build'!D5</f>
        <v>167979.34137599997</v>
      </c>
      <c r="E11" s="51">
        <f>'Cost Build'!E5</f>
        <v>216273.40202160002</v>
      </c>
      <c r="F11" s="51">
        <f>'Cost Build'!F5</f>
        <v>289590.08530692238</v>
      </c>
      <c r="G11" s="51">
        <f>'Cost Build'!G5</f>
        <v>321222.23308660166</v>
      </c>
      <c r="H11" s="51">
        <f>'Cost Build'!H5</f>
        <v>354491.67865628545</v>
      </c>
      <c r="I11" s="51">
        <f>'Cost Build'!I5</f>
        <v>389468.1909503722</v>
      </c>
      <c r="J11" s="51">
        <f>'Cost Build'!J5</f>
        <v>411181.04259585554</v>
      </c>
      <c r="K11" s="51">
        <f>'Cost Build'!K5</f>
        <v>439010.97901545308</v>
      </c>
    </row>
    <row r="12" spans="1:11" x14ac:dyDescent="0.2">
      <c r="A12" t="s">
        <v>425</v>
      </c>
      <c r="B12" s="51">
        <f>'Cost Build'!B6+'Cost Build'!B7+'Cost Build'!B8</f>
        <v>96000</v>
      </c>
      <c r="C12" s="51">
        <f>'Cost Build'!C6+'Cost Build'!C7+'Cost Build'!C8</f>
        <v>172800</v>
      </c>
      <c r="D12" s="51">
        <f>'Cost Build'!D6+'Cost Build'!D7+'Cost Build'!D8</f>
        <v>288000</v>
      </c>
      <c r="E12" s="51">
        <f>'Cost Build'!E6+'Cost Build'!E7+'Cost Build'!E8</f>
        <v>364800</v>
      </c>
      <c r="F12" s="51">
        <f>'Cost Build'!F6+'Cost Build'!F7+'Cost Build'!F8</f>
        <v>480000</v>
      </c>
      <c r="G12" s="51">
        <f>'Cost Build'!G6+'Cost Build'!G7+'Cost Build'!G8</f>
        <v>528000</v>
      </c>
      <c r="H12" s="51">
        <f>'Cost Build'!H6+'Cost Build'!H7+'Cost Build'!H8</f>
        <v>576000</v>
      </c>
      <c r="I12" s="51">
        <f>'Cost Build'!I6+'Cost Build'!I7+'Cost Build'!I8</f>
        <v>624000</v>
      </c>
      <c r="J12" s="51">
        <f>'Cost Build'!J6+'Cost Build'!J7+'Cost Build'!J8</f>
        <v>652800</v>
      </c>
      <c r="K12" s="51">
        <f>'Cost Build'!K6+'Cost Build'!K7+'Cost Build'!K8</f>
        <v>672000</v>
      </c>
    </row>
    <row r="13" spans="1:11" x14ac:dyDescent="0.2">
      <c r="A13" t="s">
        <v>426</v>
      </c>
      <c r="B13" s="51">
        <f>'Cost Build'!B9</f>
        <v>30000</v>
      </c>
      <c r="C13" s="51">
        <f>'Cost Build'!C9</f>
        <v>45000</v>
      </c>
      <c r="D13" s="51">
        <f>'Cost Build'!D9</f>
        <v>75000</v>
      </c>
      <c r="E13" s="51">
        <f>'Cost Build'!E9</f>
        <v>90000</v>
      </c>
      <c r="F13" s="51">
        <f>'Cost Build'!F9</f>
        <v>120000</v>
      </c>
      <c r="G13" s="51">
        <f>'Cost Build'!G9</f>
        <v>120000</v>
      </c>
      <c r="H13" s="51">
        <f>'Cost Build'!H9</f>
        <v>120000</v>
      </c>
      <c r="I13" s="51">
        <f>'Cost Build'!I9</f>
        <v>120000</v>
      </c>
      <c r="J13" s="51">
        <f>'Cost Build'!J9</f>
        <v>120000</v>
      </c>
      <c r="K13" s="51">
        <f>'Cost Build'!K9</f>
        <v>120000</v>
      </c>
    </row>
    <row r="14" spans="1:11" x14ac:dyDescent="0.2">
      <c r="A14" t="s">
        <v>427</v>
      </c>
      <c r="B14" s="51">
        <f>'Cost Build'!B10+'Cost Build'!B11</f>
        <v>97375</v>
      </c>
      <c r="C14" s="51">
        <f>'Cost Build'!C10+'Cost Build'!C11</f>
        <v>238500.00000000003</v>
      </c>
      <c r="D14" s="51">
        <f>'Cost Build'!D10+'Cost Build'!D11</f>
        <v>397500</v>
      </c>
      <c r="E14" s="51">
        <f>'Cost Build'!E10+'Cost Build'!E11</f>
        <v>596250</v>
      </c>
      <c r="F14" s="51">
        <f>'Cost Build'!F10+'Cost Build'!F11</f>
        <v>894375.00000000012</v>
      </c>
      <c r="G14" s="51">
        <f>'Cost Build'!G10+'Cost Build'!G11</f>
        <v>1033500.0000000001</v>
      </c>
      <c r="H14" s="51">
        <f>'Cost Build'!H10+'Cost Build'!H11</f>
        <v>1152750</v>
      </c>
      <c r="I14" s="51">
        <f>'Cost Build'!I10+'Cost Build'!I11</f>
        <v>1291875</v>
      </c>
      <c r="J14" s="51">
        <f>'Cost Build'!J10+'Cost Build'!J11</f>
        <v>1431000</v>
      </c>
      <c r="K14" s="51">
        <f>'Cost Build'!K10+'Cost Build'!K11</f>
        <v>1590000</v>
      </c>
    </row>
    <row r="15" spans="1:11" x14ac:dyDescent="0.2">
      <c r="A15" t="s">
        <v>428</v>
      </c>
      <c r="B15" s="51">
        <f>'Cost Build'!B12</f>
        <v>11696.012959999998</v>
      </c>
      <c r="C15" s="51">
        <f>'Cost Build'!C12</f>
        <v>24111.069144000001</v>
      </c>
      <c r="D15" s="51">
        <f>'Cost Build'!D12</f>
        <v>41394.900952384</v>
      </c>
      <c r="E15" s="51">
        <f>'Cost Build'!E12</f>
        <v>57542.213509852802</v>
      </c>
      <c r="F15" s="51">
        <f>'Cost Build'!F12</f>
        <v>82620.308411131875</v>
      </c>
      <c r="G15" s="51">
        <f>'Cost Build'!G12</f>
        <v>93521.630465720998</v>
      </c>
      <c r="H15" s="51">
        <f>'Cost Build'!H12</f>
        <v>103950.90752905545</v>
      </c>
      <c r="I15" s="51">
        <f>'Cost Build'!I12</f>
        <v>115582.10347230679</v>
      </c>
      <c r="J15" s="51">
        <f>'Cost Build'!J12</f>
        <v>125756.15077228383</v>
      </c>
      <c r="K15" s="51">
        <f>'Cost Build'!K12</f>
        <v>138836.7723736834</v>
      </c>
    </row>
    <row r="16" spans="1:11" x14ac:dyDescent="0.2">
      <c r="A16" s="5" t="s">
        <v>429</v>
      </c>
      <c r="B16" s="52">
        <f>SUM(B11:B15)</f>
        <v>294447.25296000001</v>
      </c>
      <c r="C16" s="52">
        <f>SUM(C11:C15)</f>
        <v>582340.28114400001</v>
      </c>
      <c r="D16" s="52">
        <f>SUM(D11:D15)</f>
        <v>969874.24232838396</v>
      </c>
      <c r="E16" s="52">
        <f>SUM(E11:E15)</f>
        <v>1324865.6155314527</v>
      </c>
      <c r="F16" s="52">
        <f>SUM(F11:F15)</f>
        <v>1866585.3937180543</v>
      </c>
      <c r="G16" s="52">
        <f>SUM(G11:G15)</f>
        <v>2096243.8635523228</v>
      </c>
      <c r="H16" s="52">
        <f>SUM(H11:H15)</f>
        <v>2307192.5861853412</v>
      </c>
      <c r="I16" s="52">
        <f>SUM(I11:I15)</f>
        <v>2540925.2944226791</v>
      </c>
      <c r="J16" s="52">
        <f>SUM(J11:J15)</f>
        <v>2740737.1933681392</v>
      </c>
      <c r="K16" s="52">
        <f>SUM(K11:K15)</f>
        <v>2959847.7513891361</v>
      </c>
    </row>
    <row r="18" spans="1:11" x14ac:dyDescent="0.2">
      <c r="A18" s="5" t="s">
        <v>404</v>
      </c>
      <c r="B18" s="52">
        <f>B9-B16</f>
        <v>290353.39503999992</v>
      </c>
      <c r="C18" s="52">
        <f>C9-C16</f>
        <v>623213.17605600005</v>
      </c>
      <c r="D18" s="52">
        <f>D9-D16</f>
        <v>1099870.8052908159</v>
      </c>
      <c r="E18" s="52">
        <f>E9-E16</f>
        <v>1552245.0599611874</v>
      </c>
      <c r="F18" s="52">
        <f>F9-F16</f>
        <v>2264430.0268385392</v>
      </c>
      <c r="G18" s="52">
        <f>G9-G16</f>
        <v>2579837.6597337276</v>
      </c>
      <c r="H18" s="52">
        <f>H9-H16</f>
        <v>2890352.7902674307</v>
      </c>
      <c r="I18" s="52">
        <f>I9-I16</f>
        <v>3238179.8791926601</v>
      </c>
      <c r="J18" s="52">
        <f>J9-J16</f>
        <v>3547070.3452460519</v>
      </c>
      <c r="K18" s="52">
        <f>K9-K16</f>
        <v>3981990.8672950338</v>
      </c>
    </row>
    <row r="19" spans="1:11" x14ac:dyDescent="0.2">
      <c r="A19" t="s">
        <v>390</v>
      </c>
      <c r="B19" s="19">
        <f>IF(B9=0,0,B18/B9)</f>
        <v>0.49649978335865308</v>
      </c>
      <c r="C19" s="19">
        <f>IF(C9=0,0,C18/C9)</f>
        <v>0.51695192140501622</v>
      </c>
      <c r="D19" s="19">
        <f>IF(D9=0,0,D18/D9)</f>
        <v>0.53140400386800424</v>
      </c>
      <c r="E19" s="19">
        <f>IF(E9=0,0,E18/E9)</f>
        <v>0.53951524116999794</v>
      </c>
      <c r="F19" s="19">
        <f>IF(F9=0,0,F18/F9)</f>
        <v>0.54815337061449176</v>
      </c>
      <c r="G19" s="19">
        <f>IF(G9=0,0,G18/G9)</f>
        <v>0.55170929909724564</v>
      </c>
      <c r="H19" s="19">
        <f>IF(H9=0,0,H18/H9)</f>
        <v>0.55609957795886389</v>
      </c>
      <c r="I19" s="19">
        <f>IF(I9=0,0,I18/I9)</f>
        <v>0.56032547979515201</v>
      </c>
      <c r="J19" s="19">
        <f>IF(J9=0,0,J18/J9)</f>
        <v>0.56411878440347629</v>
      </c>
      <c r="K19" s="19">
        <f>IF(K9=0,0,K18/K9)</f>
        <v>0.57362193015801088</v>
      </c>
    </row>
    <row r="21" spans="1:11" x14ac:dyDescent="0.2">
      <c r="A21" t="s">
        <v>430</v>
      </c>
      <c r="B21" s="51">
        <f>'Cost Build'!B28</f>
        <v>675000</v>
      </c>
      <c r="C21" s="51">
        <f>'Cost Build'!C28</f>
        <v>927000</v>
      </c>
      <c r="D21" s="51">
        <f>'Cost Build'!D28</f>
        <v>954810</v>
      </c>
      <c r="E21" s="51">
        <f>'Cost Build'!E28</f>
        <v>1174681.5250000001</v>
      </c>
      <c r="F21" s="51">
        <f>'Cost Build'!F28</f>
        <v>1209921.9707499999</v>
      </c>
      <c r="G21" s="51">
        <f>'Cost Build'!G28</f>
        <v>1246219.6298724997</v>
      </c>
      <c r="H21" s="51">
        <f>'Cost Build'!H28</f>
        <v>1492565.3706612496</v>
      </c>
      <c r="I21" s="51">
        <f>'Cost Build'!I28</f>
        <v>1537342.3317810874</v>
      </c>
      <c r="J21" s="51">
        <f>'Cost Build'!J28</f>
        <v>1805147.3659773525</v>
      </c>
      <c r="K21" s="51">
        <f>'Cost Build'!K28</f>
        <v>1859301.7869566733</v>
      </c>
    </row>
    <row r="22" spans="1:11" x14ac:dyDescent="0.2">
      <c r="A22" t="s">
        <v>431</v>
      </c>
      <c r="B22" s="51">
        <f>'Cost Build'!B40</f>
        <v>331000</v>
      </c>
      <c r="C22" s="51">
        <f>'Cost Build'!C40</f>
        <v>347550</v>
      </c>
      <c r="D22" s="51">
        <f>'Cost Build'!D40</f>
        <v>364927.5</v>
      </c>
      <c r="E22" s="51">
        <f>'Cost Build'!E40</f>
        <v>383173.87500000006</v>
      </c>
      <c r="F22" s="51">
        <f>'Cost Build'!F40</f>
        <v>402332.56874999998</v>
      </c>
      <c r="G22" s="51">
        <f>'Cost Build'!G40</f>
        <v>422449.19718750007</v>
      </c>
      <c r="H22" s="51">
        <f>'Cost Build'!H40</f>
        <v>443571.65704687493</v>
      </c>
      <c r="I22" s="51">
        <f>'Cost Build'!I40</f>
        <v>465750.23989921878</v>
      </c>
      <c r="J22" s="51">
        <f>'Cost Build'!J40</f>
        <v>489037.75189417967</v>
      </c>
      <c r="K22" s="51">
        <f>'Cost Build'!K40</f>
        <v>513489.63948888873</v>
      </c>
    </row>
    <row r="23" spans="1:11" x14ac:dyDescent="0.2">
      <c r="A23" s="5" t="s">
        <v>373</v>
      </c>
      <c r="B23" s="52">
        <f>B21+B22</f>
        <v>1006000</v>
      </c>
      <c r="C23" s="52">
        <f>C21+C22</f>
        <v>1274550</v>
      </c>
      <c r="D23" s="52">
        <f>D21+D22</f>
        <v>1319737.5</v>
      </c>
      <c r="E23" s="52">
        <f>E21+E22</f>
        <v>1557855.4000000001</v>
      </c>
      <c r="F23" s="52">
        <f>F21+F22</f>
        <v>1612254.5395</v>
      </c>
      <c r="G23" s="52">
        <f>G21+G22</f>
        <v>1668668.8270599998</v>
      </c>
      <c r="H23" s="52">
        <f>H21+H22</f>
        <v>1936137.0277081246</v>
      </c>
      <c r="I23" s="52">
        <f>I21+I22</f>
        <v>2003092.5716803062</v>
      </c>
      <c r="J23" s="52">
        <f>J21+J22</f>
        <v>2294185.1178715322</v>
      </c>
      <c r="K23" s="52">
        <f>K21+K22</f>
        <v>2372791.4264455619</v>
      </c>
    </row>
    <row r="25" spans="1:11" x14ac:dyDescent="0.2">
      <c r="A25" s="21" t="s">
        <v>406</v>
      </c>
      <c r="B25" s="55">
        <f>B18-B23</f>
        <v>-715646.60496000014</v>
      </c>
      <c r="C25" s="55">
        <f>C18-C23</f>
        <v>-651336.82394399995</v>
      </c>
      <c r="D25" s="55">
        <f>D18-D23</f>
        <v>-219866.69470918411</v>
      </c>
      <c r="E25" s="55">
        <f>E18-E23</f>
        <v>-5610.3400388127193</v>
      </c>
      <c r="F25" s="55">
        <f>F18-F23</f>
        <v>652175.48733853921</v>
      </c>
      <c r="G25" s="55">
        <f>G18-G23</f>
        <v>911168.83267372777</v>
      </c>
      <c r="H25" s="55">
        <f>H18-H23</f>
        <v>954215.76255930611</v>
      </c>
      <c r="I25" s="55">
        <f>I18-I23</f>
        <v>1235087.3075123539</v>
      </c>
      <c r="J25" s="55">
        <f>J18-J23</f>
        <v>1252885.2273745197</v>
      </c>
      <c r="K25" s="55">
        <f>K18-K23</f>
        <v>1609199.4408494718</v>
      </c>
    </row>
    <row r="26" spans="1:11" x14ac:dyDescent="0.2">
      <c r="A26" s="49" t="s">
        <v>432</v>
      </c>
      <c r="B26" s="50">
        <f>IF(B9=0,0,B25/B9)</f>
        <v>-1.2237445485183529</v>
      </c>
      <c r="C26" s="50">
        <f>IF(C9=0,0,C25/C9)</f>
        <v>-0.54028033352978377</v>
      </c>
      <c r="D26" s="50">
        <f>IF(D9=0,0,D25/D9)</f>
        <v>-0.10622887826792669</v>
      </c>
      <c r="E26" s="50">
        <f>IF(E9=0,0,E25/E9)</f>
        <v>-1.9499910401785552E-3</v>
      </c>
      <c r="F26" s="50">
        <f>IF(F9=0,0,F25/F9)</f>
        <v>0.1578729249213667</v>
      </c>
      <c r="G26" s="50">
        <f>IF(G9=0,0,G25/G9)</f>
        <v>0.19485734543682992</v>
      </c>
      <c r="H26" s="50">
        <f>IF(H9=0,0,H25/H9)</f>
        <v>0.1835896934892256</v>
      </c>
      <c r="I26" s="50">
        <f>IF(I9=0,0,I25/I9)</f>
        <v>0.21371601145990185</v>
      </c>
      <c r="J26" s="50">
        <f>IF(J9=0,0,J25/J9)</f>
        <v>0.19925629397534816</v>
      </c>
      <c r="K26" s="50">
        <f>IF(K9=0,0,K25/K9)</f>
        <v>0.23181170425343259</v>
      </c>
    </row>
    <row r="28" spans="1:11" x14ac:dyDescent="0.2">
      <c r="A28" t="s">
        <v>433</v>
      </c>
      <c r="B28" s="51">
        <f>B9*Assumptions!B120</f>
        <v>17544.019439999996</v>
      </c>
      <c r="C28" s="51">
        <f>C9*Assumptions!B120</f>
        <v>36166.603715999998</v>
      </c>
      <c r="D28" s="51">
        <f>D9*Assumptions!B120</f>
        <v>62092.351428575996</v>
      </c>
      <c r="E28" s="51">
        <f>E9*Assumptions!B120</f>
        <v>86313.320264779206</v>
      </c>
      <c r="F28" s="51">
        <f>F9*Assumptions!B120</f>
        <v>123930.46261669781</v>
      </c>
      <c r="G28" s="51">
        <f>G9*Assumptions!B120</f>
        <v>140282.44569858149</v>
      </c>
      <c r="H28" s="51">
        <f>H9*Assumptions!B120</f>
        <v>155926.36129358315</v>
      </c>
      <c r="I28" s="51">
        <f>I9*Assumptions!B120</f>
        <v>173373.15520846017</v>
      </c>
      <c r="J28" s="51">
        <f>J9*Assumptions!B120</f>
        <v>188634.22615842574</v>
      </c>
      <c r="K28" s="51">
        <f>K9*Assumptions!B120</f>
        <v>208255.15856052507</v>
      </c>
    </row>
    <row r="29" spans="1:11" x14ac:dyDescent="0.2">
      <c r="A29" s="5" t="s">
        <v>409</v>
      </c>
      <c r="B29" s="52">
        <f>B25-B28</f>
        <v>-733190.62440000009</v>
      </c>
      <c r="C29" s="52">
        <f>C25-C28</f>
        <v>-687503.42765999993</v>
      </c>
      <c r="D29" s="52">
        <f>D25-D28</f>
        <v>-281959.0461377601</v>
      </c>
      <c r="E29" s="52">
        <f>E25-E28</f>
        <v>-91923.660303591925</v>
      </c>
      <c r="F29" s="52">
        <f>F25-F28</f>
        <v>528245.02472184144</v>
      </c>
      <c r="G29" s="52">
        <f>G25-G28</f>
        <v>770886.38697514625</v>
      </c>
      <c r="H29" s="52">
        <f>H25-H28</f>
        <v>798289.40126572293</v>
      </c>
      <c r="I29" s="52">
        <f>I25-I28</f>
        <v>1061714.1523038936</v>
      </c>
      <c r="J29" s="52">
        <f>J25-J28</f>
        <v>1064251.001216094</v>
      </c>
      <c r="K29" s="52">
        <f>K25-K28</f>
        <v>1400944.2822889467</v>
      </c>
    </row>
    <row r="30" spans="1:11" x14ac:dyDescent="0.2">
      <c r="A30" t="s">
        <v>434</v>
      </c>
      <c r="B30" s="19">
        <f>IF(B9=0,0,B29/B9)</f>
        <v>-1.2537445485183529</v>
      </c>
      <c r="C30" s="19">
        <f>IF(C9=0,0,C29/C9)</f>
        <v>-0.5702803335297838</v>
      </c>
      <c r="D30" s="19">
        <f>IF(D9=0,0,D29/D9)</f>
        <v>-0.13622887826792668</v>
      </c>
      <c r="E30" s="19">
        <f>IF(E9=0,0,E29/E9)</f>
        <v>-3.1949991040178559E-2</v>
      </c>
      <c r="F30" s="19">
        <f>IF(F9=0,0,F29/F9)</f>
        <v>0.1278729249213667</v>
      </c>
      <c r="G30" s="19">
        <f>IF(G9=0,0,G29/G9)</f>
        <v>0.16485734543682992</v>
      </c>
      <c r="H30" s="19">
        <f>IF(H9=0,0,H29/H9)</f>
        <v>0.1535896934892256</v>
      </c>
      <c r="I30" s="19">
        <f>IF(I9=0,0,I29/I9)</f>
        <v>0.18371601145990182</v>
      </c>
      <c r="J30" s="19">
        <f>IF(J9=0,0,J29/J9)</f>
        <v>0.16925629397534819</v>
      </c>
      <c r="K30" s="19">
        <f>IF(K9=0,0,K29/K9)</f>
        <v>0.20181170425343259</v>
      </c>
    </row>
    <row r="32" spans="1:11" x14ac:dyDescent="0.2">
      <c r="A32" t="s">
        <v>435</v>
      </c>
      <c r="B32" s="51">
        <f>MAX(0,B29*Assumptions!B108)</f>
        <v>0</v>
      </c>
      <c r="C32" s="51">
        <f>MAX(0,C29*Assumptions!B108)</f>
        <v>0</v>
      </c>
      <c r="D32" s="51">
        <f>MAX(0,D29*Assumptions!B108)</f>
        <v>0</v>
      </c>
      <c r="E32" s="51">
        <f>MAX(0,E29*Assumptions!B108)</f>
        <v>0</v>
      </c>
      <c r="F32" s="51">
        <f>MAX(0,F29*Assumptions!B108)</f>
        <v>132061.25618046036</v>
      </c>
      <c r="G32" s="51">
        <f>MAX(0,G29*Assumptions!B108)</f>
        <v>192721.59674378656</v>
      </c>
      <c r="H32" s="51">
        <f>MAX(0,H29*Assumptions!B108)</f>
        <v>199572.35031643073</v>
      </c>
      <c r="I32" s="51">
        <f>MAX(0,I29*Assumptions!B108)</f>
        <v>265428.5380759734</v>
      </c>
      <c r="J32" s="51">
        <f>MAX(0,J29*Assumptions!B108)</f>
        <v>266062.7503040235</v>
      </c>
      <c r="K32" s="51">
        <f>MAX(0,K29*Assumptions!B108)</f>
        <v>350236.07057223667</v>
      </c>
    </row>
    <row r="33" spans="1:11" x14ac:dyDescent="0.2">
      <c r="A33" s="56" t="s">
        <v>436</v>
      </c>
      <c r="B33" s="57">
        <f>B29-B32</f>
        <v>-733190.62440000009</v>
      </c>
      <c r="C33" s="57">
        <f>C29-C32</f>
        <v>-687503.42765999993</v>
      </c>
      <c r="D33" s="57">
        <f>D29-D32</f>
        <v>-281959.0461377601</v>
      </c>
      <c r="E33" s="57">
        <f>E29-E32</f>
        <v>-91923.660303591925</v>
      </c>
      <c r="F33" s="57">
        <f>F29-F32</f>
        <v>396183.76854138111</v>
      </c>
      <c r="G33" s="57">
        <f>G29-G32</f>
        <v>578164.79023135966</v>
      </c>
      <c r="H33" s="57">
        <f>H29-H32</f>
        <v>598717.05094929226</v>
      </c>
      <c r="I33" s="57">
        <f>I29-I32</f>
        <v>796285.61422792019</v>
      </c>
      <c r="J33" s="57">
        <f>J29-J32</f>
        <v>798188.25091207051</v>
      </c>
      <c r="K33" s="57">
        <f>K29-K32</f>
        <v>1050708.2117167101</v>
      </c>
    </row>
    <row r="34" spans="1:11" x14ac:dyDescent="0.2">
      <c r="A34" s="58" t="s">
        <v>437</v>
      </c>
      <c r="B34" s="59">
        <f>IF(B9=0,0,B33/B9)</f>
        <v>-1.2537445485183529</v>
      </c>
      <c r="C34" s="59">
        <f>IF(C9=0,0,C33/C9)</f>
        <v>-0.5702803335297838</v>
      </c>
      <c r="D34" s="59">
        <f>IF(D9=0,0,D33/D9)</f>
        <v>-0.13622887826792668</v>
      </c>
      <c r="E34" s="59">
        <f>IF(E9=0,0,E33/E9)</f>
        <v>-3.1949991040178559E-2</v>
      </c>
      <c r="F34" s="59">
        <f>IF(F9=0,0,F33/F9)</f>
        <v>9.5904693691025042E-2</v>
      </c>
      <c r="G34" s="59">
        <f>IF(G9=0,0,G33/G9)</f>
        <v>0.12364300907762243</v>
      </c>
      <c r="H34" s="59">
        <f>IF(H9=0,0,H33/H9)</f>
        <v>0.11519227011691921</v>
      </c>
      <c r="I34" s="59">
        <f>IF(I9=0,0,I33/I9)</f>
        <v>0.13778700859492637</v>
      </c>
      <c r="J34" s="59">
        <f>IF(J9=0,0,J33/J9)</f>
        <v>0.12694222048151113</v>
      </c>
      <c r="K34" s="59">
        <f>IF(K9=0,0,K33/K9)</f>
        <v>0.15135877819007446</v>
      </c>
    </row>
    <row r="36" spans="1:11" x14ac:dyDescent="0.2">
      <c r="A36" s="48" t="s">
        <v>438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">
      <c r="A37" t="s">
        <v>439</v>
      </c>
      <c r="B37" s="51">
        <f>B33</f>
        <v>-733190.62440000009</v>
      </c>
      <c r="C37" s="51">
        <f>C33</f>
        <v>-687503.42765999993</v>
      </c>
      <c r="D37" s="51">
        <f>D33</f>
        <v>-281959.0461377601</v>
      </c>
      <c r="E37" s="51">
        <f>E33</f>
        <v>-91923.660303591925</v>
      </c>
      <c r="F37" s="51">
        <f>F33</f>
        <v>396183.76854138111</v>
      </c>
      <c r="G37" s="51">
        <f>G33</f>
        <v>578164.79023135966</v>
      </c>
      <c r="H37" s="51">
        <f>H33</f>
        <v>598717.05094929226</v>
      </c>
      <c r="I37" s="51">
        <f>I33</f>
        <v>796285.61422792019</v>
      </c>
      <c r="J37" s="51">
        <f>J33</f>
        <v>798188.25091207051</v>
      </c>
      <c r="K37" s="51">
        <f>K33</f>
        <v>1050708.2117167101</v>
      </c>
    </row>
    <row r="38" spans="1:11" x14ac:dyDescent="0.2">
      <c r="A38" t="s">
        <v>440</v>
      </c>
      <c r="B38" s="51">
        <f>B28</f>
        <v>17544.019439999996</v>
      </c>
      <c r="C38" s="51">
        <f>C28</f>
        <v>36166.603715999998</v>
      </c>
      <c r="D38" s="51">
        <f>D28</f>
        <v>62092.351428575996</v>
      </c>
      <c r="E38" s="51">
        <f>E28</f>
        <v>86313.320264779206</v>
      </c>
      <c r="F38" s="51">
        <f>F28</f>
        <v>123930.46261669781</v>
      </c>
      <c r="G38" s="51">
        <f>G28</f>
        <v>140282.44569858149</v>
      </c>
      <c r="H38" s="51">
        <f>H28</f>
        <v>155926.36129358315</v>
      </c>
      <c r="I38" s="51">
        <f>I28</f>
        <v>173373.15520846017</v>
      </c>
      <c r="J38" s="51">
        <f>J28</f>
        <v>188634.22615842574</v>
      </c>
      <c r="K38" s="51">
        <f>K28</f>
        <v>208255.15856052507</v>
      </c>
    </row>
    <row r="39" spans="1:11" x14ac:dyDescent="0.2">
      <c r="A39" t="s">
        <v>441</v>
      </c>
      <c r="B39" s="51">
        <f>B37+B38</f>
        <v>-715646.60496000014</v>
      </c>
      <c r="C39" s="51">
        <f>C37+C38</f>
        <v>-651336.82394399995</v>
      </c>
      <c r="D39" s="51">
        <f>D37+D38</f>
        <v>-219866.69470918411</v>
      </c>
      <c r="E39" s="51">
        <f>E37+E38</f>
        <v>-5610.3400388127193</v>
      </c>
      <c r="F39" s="51">
        <f>F37+F38</f>
        <v>520114.23115807894</v>
      </c>
      <c r="G39" s="51">
        <f>G37+G38</f>
        <v>718447.23592994118</v>
      </c>
      <c r="H39" s="51">
        <f>H37+H38</f>
        <v>754643.41224287543</v>
      </c>
      <c r="I39" s="51">
        <f>I37+I38</f>
        <v>969658.76943638036</v>
      </c>
      <c r="J39" s="51">
        <f>J37+J38</f>
        <v>986822.47707049618</v>
      </c>
      <c r="K39" s="51">
        <f>K37+K38</f>
        <v>1258963.3702772353</v>
      </c>
    </row>
    <row r="41" spans="1:11" x14ac:dyDescent="0.2">
      <c r="A41" t="s">
        <v>414</v>
      </c>
      <c r="B41" s="51">
        <f>B9*Assumptions!B119</f>
        <v>46784.051839999993</v>
      </c>
      <c r="C41" s="51">
        <f>(C9-B9)*Assumptions!B119</f>
        <v>49660.224736000011</v>
      </c>
      <c r="D41" s="51">
        <f>(D9-C9)*Assumptions!B119</f>
        <v>69135.32723353598</v>
      </c>
      <c r="E41" s="51">
        <f>(E9-D9)*Assumptions!B119</f>
        <v>64589.250229875222</v>
      </c>
      <c r="F41" s="51">
        <f>(F9-E9)*Assumptions!B119</f>
        <v>100312.37960511629</v>
      </c>
      <c r="G41" s="51">
        <f>(G9-F9)*Assumptions!B119</f>
        <v>43605.288218356523</v>
      </c>
      <c r="H41" s="51">
        <f>(H9-G9)*Assumptions!B119</f>
        <v>41717.108253337741</v>
      </c>
      <c r="I41" s="51">
        <f>(I9-H9)*Assumptions!B119</f>
        <v>46524.78377300538</v>
      </c>
      <c r="J41" s="51">
        <f>(J9-I9)*Assumptions!B119</f>
        <v>40696.189199908156</v>
      </c>
      <c r="K41" s="51">
        <f>(K9-J9)*Assumptions!B119</f>
        <v>52322.486405598298</v>
      </c>
    </row>
    <row r="42" spans="1:11" x14ac:dyDescent="0.2">
      <c r="A42" s="5" t="s">
        <v>442</v>
      </c>
      <c r="B42" s="52">
        <f>B39-B41</f>
        <v>-762430.65680000011</v>
      </c>
      <c r="C42" s="52">
        <f>C39-C41</f>
        <v>-700997.04868000001</v>
      </c>
      <c r="D42" s="52">
        <f>D39-D41</f>
        <v>-289002.02194272011</v>
      </c>
      <c r="E42" s="52">
        <f>E39-E41</f>
        <v>-70199.590268687942</v>
      </c>
      <c r="F42" s="52">
        <f>F39-F41</f>
        <v>419801.85155296267</v>
      </c>
      <c r="G42" s="52">
        <f>G39-G41</f>
        <v>674841.94771158462</v>
      </c>
      <c r="H42" s="52">
        <f>H39-H41</f>
        <v>712926.30398953764</v>
      </c>
      <c r="I42" s="52">
        <f>I39-I41</f>
        <v>923133.985663375</v>
      </c>
      <c r="J42" s="52">
        <f>J39-J41</f>
        <v>946126.28787058801</v>
      </c>
      <c r="K42" s="52">
        <f>K39-K41</f>
        <v>1206640.8838716371</v>
      </c>
    </row>
    <row r="44" spans="1:11" x14ac:dyDescent="0.2">
      <c r="A44" t="s">
        <v>443</v>
      </c>
      <c r="B44" s="51">
        <f>B9*Assumptions!B118</f>
        <v>29240.032399999996</v>
      </c>
      <c r="C44" s="51">
        <f>C9*Assumptions!B118</f>
        <v>60277.672860000006</v>
      </c>
      <c r="D44" s="51">
        <f>D9*Assumptions!B118</f>
        <v>103487.25238096</v>
      </c>
      <c r="E44" s="51">
        <f>E9*Assumptions!B118</f>
        <v>143855.533774632</v>
      </c>
      <c r="F44" s="51">
        <f>F9*Assumptions!B118</f>
        <v>206550.7710278297</v>
      </c>
      <c r="G44" s="51">
        <f>G9*Assumptions!B118</f>
        <v>233804.07616430253</v>
      </c>
      <c r="H44" s="51">
        <f>H9*Assumptions!B118</f>
        <v>259877.26882263861</v>
      </c>
      <c r="I44" s="51">
        <f>I9*Assumptions!B118</f>
        <v>288955.25868076697</v>
      </c>
      <c r="J44" s="51">
        <f>J9*Assumptions!B118</f>
        <v>314390.37693070958</v>
      </c>
      <c r="K44" s="51">
        <f>K9*Assumptions!B118</f>
        <v>347091.9309342085</v>
      </c>
    </row>
    <row r="45" spans="1:11" x14ac:dyDescent="0.2">
      <c r="A45" t="s">
        <v>444</v>
      </c>
      <c r="B45" s="51">
        <f>-B44</f>
        <v>-29240.032399999996</v>
      </c>
      <c r="C45" s="51">
        <f>-C44</f>
        <v>-60277.672860000006</v>
      </c>
      <c r="D45" s="51">
        <f>-D44</f>
        <v>-103487.25238096</v>
      </c>
      <c r="E45" s="51">
        <f>-E44</f>
        <v>-143855.533774632</v>
      </c>
      <c r="F45" s="51">
        <f>-F44</f>
        <v>-206550.7710278297</v>
      </c>
      <c r="G45" s="51">
        <f>-G44</f>
        <v>-233804.07616430253</v>
      </c>
      <c r="H45" s="51">
        <f>-H44</f>
        <v>-259877.26882263861</v>
      </c>
      <c r="I45" s="51">
        <f>-I44</f>
        <v>-288955.25868076697</v>
      </c>
      <c r="J45" s="51">
        <f>-J44</f>
        <v>-314390.37693070958</v>
      </c>
      <c r="K45" s="51">
        <f>-K44</f>
        <v>-347091.9309342085</v>
      </c>
    </row>
    <row r="47" spans="1:11" x14ac:dyDescent="0.2">
      <c r="A47" s="21" t="s">
        <v>415</v>
      </c>
      <c r="B47" s="55">
        <f>B42+B45</f>
        <v>-791670.68920000014</v>
      </c>
      <c r="C47" s="55">
        <f>C42+C45</f>
        <v>-761274.72154000006</v>
      </c>
      <c r="D47" s="55">
        <f>D42+D45</f>
        <v>-392489.27432368009</v>
      </c>
      <c r="E47" s="55">
        <f>E42+E45</f>
        <v>-214055.12404331996</v>
      </c>
      <c r="F47" s="55">
        <f>F42+F45</f>
        <v>213251.08052513297</v>
      </c>
      <c r="G47" s="55">
        <f>G42+G45</f>
        <v>441037.87154728209</v>
      </c>
      <c r="H47" s="55">
        <f>H42+H45</f>
        <v>453049.03516689903</v>
      </c>
      <c r="I47" s="55">
        <f>I42+I45</f>
        <v>634178.72698260797</v>
      </c>
      <c r="J47" s="55">
        <f>J42+J45</f>
        <v>631735.91093987843</v>
      </c>
      <c r="K47" s="55">
        <f>K42+K45</f>
        <v>859548.95293742861</v>
      </c>
    </row>
    <row r="48" spans="1:11" x14ac:dyDescent="0.2">
      <c r="A48" s="49" t="s">
        <v>445</v>
      </c>
      <c r="B48" s="50">
        <f>IF(B9=0,0,B47/B9)</f>
        <v>-1.353744548518353</v>
      </c>
      <c r="C48" s="50">
        <f>IF(C9=0,0,C47/C9)</f>
        <v>-0.63147321837401138</v>
      </c>
      <c r="D48" s="50">
        <f>IF(D9=0,0,D47/D9)</f>
        <v>-0.18963170114848457</v>
      </c>
      <c r="E48" s="50">
        <f>IF(E9=0,0,E47/E9)</f>
        <v>-7.4399336065397573E-2</v>
      </c>
      <c r="F48" s="50">
        <f>IF(F9=0,0,F47/F9)</f>
        <v>5.1621952187339094E-2</v>
      </c>
      <c r="G48" s="50">
        <f>IF(G9=0,0,G47/G9)</f>
        <v>9.4317832003354155E-2</v>
      </c>
      <c r="H48" s="50">
        <f>IF(H9=0,0,H47/H9)</f>
        <v>8.716596053579749E-2</v>
      </c>
      <c r="I48" s="50">
        <f>IF(I9=0,0,I47/I9)</f>
        <v>0.10973649171120264</v>
      </c>
      <c r="J48" s="50">
        <f>IF(J9=0,0,J47/J9)</f>
        <v>0.10046998211384674</v>
      </c>
      <c r="K48" s="50">
        <f>IF(K9=0,0,K47/K9)</f>
        <v>0.1238215118720747</v>
      </c>
    </row>
    <row r="50" spans="1:11" x14ac:dyDescent="0.2">
      <c r="A50" s="56" t="s">
        <v>446</v>
      </c>
      <c r="B50" s="57">
        <f>B47</f>
        <v>-791670.68920000014</v>
      </c>
      <c r="C50" s="57">
        <f>B50+C47</f>
        <v>-1552945.4107400002</v>
      </c>
      <c r="D50" s="57">
        <f>C50+D47</f>
        <v>-1945434.6850636802</v>
      </c>
      <c r="E50" s="57">
        <f>D50+E47</f>
        <v>-2159489.809107</v>
      </c>
      <c r="F50" s="57">
        <f>E50+F47</f>
        <v>-1946238.7285818669</v>
      </c>
      <c r="G50" s="57">
        <f>F50+G47</f>
        <v>-1505200.857034585</v>
      </c>
      <c r="H50" s="57">
        <f>G50+H47</f>
        <v>-1052151.821867686</v>
      </c>
      <c r="I50" s="57">
        <f>H50+I47</f>
        <v>-417973.09488507803</v>
      </c>
      <c r="J50" s="57">
        <f>I50+J47</f>
        <v>213762.81605480041</v>
      </c>
      <c r="K50" s="57">
        <f>J50+K47</f>
        <v>1073311.7689922289</v>
      </c>
    </row>
  </sheetData>
  <mergeCells count="3">
    <mergeCell ref="A1:K1"/>
    <mergeCell ref="A4:K4"/>
    <mergeCell ref="A36:K36"/>
  </mergeCells>
  <conditionalFormatting sqref="B25:K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3:K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7:K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678F-159E-1A47-972B-B448B9098082}">
  <sheetPr>
    <tabColor rgb="FFBF8F00"/>
  </sheetPr>
  <dimension ref="A1:K87"/>
  <sheetViews>
    <sheetView workbookViewId="0">
      <selection sqref="A1:K1"/>
    </sheetView>
  </sheetViews>
  <sheetFormatPr baseColWidth="10" defaultRowHeight="16" x14ac:dyDescent="0.2"/>
  <cols>
    <col min="1" max="1" width="43.33203125" customWidth="1"/>
    <col min="2" max="11" width="15.83203125" customWidth="1"/>
  </cols>
  <sheetData>
    <row r="1" spans="1:11" ht="19" x14ac:dyDescent="0.25">
      <c r="A1" s="1" t="s">
        <v>447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3"/>
      <c r="B2" s="14" t="s">
        <v>259</v>
      </c>
      <c r="C2" s="14" t="s">
        <v>260</v>
      </c>
      <c r="D2" s="14" t="s">
        <v>261</v>
      </c>
      <c r="E2" s="14" t="s">
        <v>262</v>
      </c>
      <c r="F2" s="14" t="s">
        <v>263</v>
      </c>
      <c r="G2" s="14" t="s">
        <v>264</v>
      </c>
      <c r="H2" s="14" t="s">
        <v>265</v>
      </c>
      <c r="I2" s="14" t="s">
        <v>266</v>
      </c>
      <c r="J2" s="14" t="s">
        <v>267</v>
      </c>
      <c r="K2" s="14" t="s">
        <v>268</v>
      </c>
    </row>
    <row r="4" spans="1:11" x14ac:dyDescent="0.2">
      <c r="A4" s="44" t="s">
        <v>448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x14ac:dyDescent="0.2">
      <c r="A5" t="s">
        <v>449</v>
      </c>
      <c r="B5" s="17">
        <f>'Revenue Build'!B12</f>
        <v>23284.799999999996</v>
      </c>
      <c r="C5" s="17">
        <f>'Revenue Build'!C12</f>
        <v>38808</v>
      </c>
      <c r="D5" s="17">
        <f>'Revenue Build'!D12</f>
        <v>62092.799999999988</v>
      </c>
      <c r="E5" s="17">
        <f>'Revenue Build'!E12</f>
        <v>77616</v>
      </c>
      <c r="F5" s="17">
        <f>'Revenue Build'!F12</f>
        <v>100900.79999999999</v>
      </c>
      <c r="G5" s="17">
        <f>'Revenue Build'!G12</f>
        <v>108662.39999999999</v>
      </c>
      <c r="H5" s="17">
        <f>'Revenue Build'!H12</f>
        <v>116424</v>
      </c>
      <c r="I5" s="17">
        <f>'Revenue Build'!I12</f>
        <v>124185.59999999998</v>
      </c>
      <c r="J5" s="17">
        <f>'Revenue Build'!J12</f>
        <v>127290.24000000001</v>
      </c>
      <c r="K5" s="17">
        <f>'Revenue Build'!K12</f>
        <v>131947.19999999998</v>
      </c>
    </row>
    <row r="6" spans="1:11" x14ac:dyDescent="0.2">
      <c r="A6" t="s">
        <v>450</v>
      </c>
      <c r="B6" s="60">
        <f>'Cost Build'!B34*IF('Revenue Build'!B78=0,0,'Revenue Build'!B20/'Revenue Build'!B78)</f>
        <v>33998.438045506402</v>
      </c>
      <c r="C6" s="60">
        <f>'Cost Build'!C34*IF('Revenue Build'!C78=0,0,'Revenue Build'!C20/'Revenue Build'!C78)</f>
        <v>30103.76382710605</v>
      </c>
      <c r="D6" s="60">
        <f>'Cost Build'!D34*IF('Revenue Build'!D78=0,0,'Revenue Build'!D20/'Revenue Build'!D78)</f>
        <v>30697.308695678119</v>
      </c>
      <c r="E6" s="60">
        <f>'Cost Build'!E34*IF('Revenue Build'!E78=0,0,'Revenue Build'!E20/'Revenue Build'!E78)</f>
        <v>30177.73018073105</v>
      </c>
      <c r="F6" s="60">
        <f>'Cost Build'!F34*IF('Revenue Build'!F78=0,0,'Revenue Build'!F20/'Revenue Build'!F78)</f>
        <v>29846.755739218021</v>
      </c>
      <c r="G6" s="60">
        <f>'Cost Build'!G34*IF('Revenue Build'!G78=0,0,'Revenue Build'!G20/'Revenue Build'!G78)</f>
        <v>30770.288524161977</v>
      </c>
      <c r="H6" s="60">
        <f>'Cost Build'!H34*IF('Revenue Build'!H78=0,0,'Revenue Build'!H20/'Revenue Build'!H78)</f>
        <v>32210.04877103891</v>
      </c>
      <c r="I6" s="60">
        <f>'Cost Build'!I34*IF('Revenue Build'!I78=0,0,'Revenue Build'!I20/'Revenue Build'!I78)</f>
        <v>33468.046488910615</v>
      </c>
      <c r="J6" s="60">
        <f>'Cost Build'!J34*IF('Revenue Build'!J78=0,0,'Revenue Build'!J20/'Revenue Build'!J78)</f>
        <v>34067.996215114101</v>
      </c>
      <c r="K6" s="60">
        <f>'Cost Build'!K34*IF('Revenue Build'!K78=0,0,'Revenue Build'!K20/'Revenue Build'!K78)</f>
        <v>34635.967631776432</v>
      </c>
    </row>
    <row r="7" spans="1:11" x14ac:dyDescent="0.2">
      <c r="A7" t="s">
        <v>451</v>
      </c>
      <c r="B7" s="61">
        <f>Assumptions!B132</f>
        <v>25</v>
      </c>
      <c r="C7" s="61">
        <f>Assumptions!B132</f>
        <v>25</v>
      </c>
      <c r="D7" s="61">
        <f>Assumptions!B132</f>
        <v>25</v>
      </c>
      <c r="E7" s="61">
        <f>Assumptions!B132</f>
        <v>25</v>
      </c>
      <c r="F7" s="61">
        <f>Assumptions!B132</f>
        <v>25</v>
      </c>
      <c r="G7" s="61">
        <f>Assumptions!B132</f>
        <v>25</v>
      </c>
      <c r="H7" s="61">
        <f>Assumptions!B132</f>
        <v>25</v>
      </c>
      <c r="I7" s="61">
        <f>Assumptions!B132</f>
        <v>25</v>
      </c>
      <c r="J7" s="61">
        <f>Assumptions!B132</f>
        <v>25</v>
      </c>
      <c r="K7" s="61">
        <f>Assumptions!B132</f>
        <v>25</v>
      </c>
    </row>
    <row r="8" spans="1:11" x14ac:dyDescent="0.2">
      <c r="A8" t="s">
        <v>452</v>
      </c>
      <c r="B8" s="60">
        <f>IF(B5=0,0,'Revenue Build'!B20/B5)</f>
        <v>11.384999999999998</v>
      </c>
      <c r="C8" s="60">
        <f>IF(C5=0,0,'Revenue Build'!C20/C5)</f>
        <v>11.87505</v>
      </c>
      <c r="D8" s="60">
        <f>IF(D5=0,0,'Revenue Build'!D20/D5)</f>
        <v>12.374739</v>
      </c>
      <c r="E8" s="60">
        <f>IF(E5=0,0,'Revenue Build'!E20/E5)</f>
        <v>12.884356170000002</v>
      </c>
      <c r="F8" s="60">
        <f>IF(F5=0,0,'Revenue Build'!F20/F5)</f>
        <v>13.404199355100001</v>
      </c>
      <c r="G8" s="60">
        <f>IF(G5=0,0,'Revenue Build'!G20/G5)</f>
        <v>13.833325335753004</v>
      </c>
      <c r="H8" s="60">
        <f>IF(H5=0,0,'Revenue Build'!H20/H5)</f>
        <v>14.307050095825593</v>
      </c>
      <c r="I8" s="60">
        <f>IF(I5=0,0,'Revenue Build'!I20/I5)</f>
        <v>14.758199098700361</v>
      </c>
      <c r="J8" s="60">
        <f>IF(J5=0,0,'Revenue Build'!J20/J5)</f>
        <v>15.187107571661372</v>
      </c>
      <c r="K8" s="60">
        <f>IF(K5=0,0,'Revenue Build'!K20/K5)</f>
        <v>15.661620798811215</v>
      </c>
    </row>
    <row r="9" spans="1:11" x14ac:dyDescent="0.2">
      <c r="A9" t="s">
        <v>453</v>
      </c>
      <c r="B9" s="9">
        <v>6</v>
      </c>
      <c r="C9" s="9">
        <v>6</v>
      </c>
      <c r="D9" s="9">
        <v>6</v>
      </c>
      <c r="E9" s="9">
        <v>6</v>
      </c>
      <c r="F9" s="9">
        <v>6</v>
      </c>
      <c r="G9" s="9">
        <v>6</v>
      </c>
      <c r="H9" s="9">
        <v>6</v>
      </c>
      <c r="I9" s="9">
        <v>6</v>
      </c>
      <c r="J9" s="9">
        <v>6</v>
      </c>
      <c r="K9" s="9">
        <v>6</v>
      </c>
    </row>
    <row r="10" spans="1:11" x14ac:dyDescent="0.2">
      <c r="A10" t="s">
        <v>454</v>
      </c>
      <c r="B10" s="60">
        <f>B8*B9</f>
        <v>68.309999999999988</v>
      </c>
      <c r="C10" s="60">
        <f>C8*C9</f>
        <v>71.250299999999996</v>
      </c>
      <c r="D10" s="60">
        <f>D8*D9</f>
        <v>74.248434000000003</v>
      </c>
      <c r="E10" s="60">
        <f>E8*E9</f>
        <v>77.306137020000008</v>
      </c>
      <c r="F10" s="60">
        <f>F8*F9</f>
        <v>80.4251961306</v>
      </c>
      <c r="G10" s="60">
        <f>G8*G9</f>
        <v>82.99995201451803</v>
      </c>
      <c r="H10" s="60">
        <f>H8*H9</f>
        <v>85.842300574953555</v>
      </c>
      <c r="I10" s="60">
        <f>I8*I9</f>
        <v>88.54919459220217</v>
      </c>
      <c r="J10" s="60">
        <f>J8*J9</f>
        <v>91.12264542996823</v>
      </c>
      <c r="K10" s="60">
        <f>K8*K9</f>
        <v>93.969724792867297</v>
      </c>
    </row>
    <row r="11" spans="1:11" x14ac:dyDescent="0.2">
      <c r="A11" t="s">
        <v>455</v>
      </c>
      <c r="B11" s="19">
        <f>1-Assumptions!B139</f>
        <v>0.7</v>
      </c>
      <c r="C11" s="19">
        <f>1-Assumptions!B139</f>
        <v>0.7</v>
      </c>
      <c r="D11" s="19">
        <f>1-Assumptions!B139</f>
        <v>0.7</v>
      </c>
      <c r="E11" s="19">
        <f>1-Assumptions!B139</f>
        <v>0.7</v>
      </c>
      <c r="F11" s="19">
        <f>1-Assumptions!B139</f>
        <v>0.7</v>
      </c>
      <c r="G11" s="19">
        <f>1-Assumptions!B139</f>
        <v>0.7</v>
      </c>
      <c r="H11" s="19">
        <f>1-Assumptions!B139</f>
        <v>0.7</v>
      </c>
      <c r="I11" s="19">
        <f>1-Assumptions!B139</f>
        <v>0.7</v>
      </c>
      <c r="J11" s="19">
        <f>1-Assumptions!B139</f>
        <v>0.7</v>
      </c>
      <c r="K11" s="19">
        <f>1-Assumptions!B139</f>
        <v>0.7</v>
      </c>
    </row>
    <row r="12" spans="1:11" x14ac:dyDescent="0.2">
      <c r="A12" t="s">
        <v>456</v>
      </c>
      <c r="B12" s="62">
        <f>1/(1-B11)</f>
        <v>3.333333333333333</v>
      </c>
      <c r="C12" s="62">
        <f>1/(1-C11)</f>
        <v>3.333333333333333</v>
      </c>
      <c r="D12" s="62">
        <f>1/(1-D11)</f>
        <v>3.333333333333333</v>
      </c>
      <c r="E12" s="62">
        <f>1/(1-E11)</f>
        <v>3.333333333333333</v>
      </c>
      <c r="F12" s="62">
        <f>1/(1-F11)</f>
        <v>3.333333333333333</v>
      </c>
      <c r="G12" s="62">
        <f>1/(1-G11)</f>
        <v>3.333333333333333</v>
      </c>
      <c r="H12" s="62">
        <f>1/(1-H11)</f>
        <v>3.333333333333333</v>
      </c>
      <c r="I12" s="62">
        <f>1/(1-I11)</f>
        <v>3.333333333333333</v>
      </c>
      <c r="J12" s="62">
        <f>1/(1-J11)</f>
        <v>3.333333333333333</v>
      </c>
      <c r="K12" s="62">
        <f>1/(1-K11)</f>
        <v>3.333333333333333</v>
      </c>
    </row>
    <row r="13" spans="1:11" x14ac:dyDescent="0.2">
      <c r="A13" t="s">
        <v>457</v>
      </c>
      <c r="B13" s="60">
        <f>B10*B12</f>
        <v>227.69999999999993</v>
      </c>
      <c r="C13" s="60">
        <f>C10*C12</f>
        <v>237.50099999999998</v>
      </c>
      <c r="D13" s="60">
        <f>D10*D12</f>
        <v>247.49477999999999</v>
      </c>
      <c r="E13" s="60">
        <f>E10*E12</f>
        <v>257.68712340000002</v>
      </c>
      <c r="F13" s="60">
        <f>F10*F12</f>
        <v>268.08398710199998</v>
      </c>
      <c r="G13" s="60">
        <f>G10*G12</f>
        <v>276.66650671506005</v>
      </c>
      <c r="H13" s="60">
        <f>H10*H12</f>
        <v>286.14100191651181</v>
      </c>
      <c r="I13" s="60">
        <f>I10*I12</f>
        <v>295.16398197400719</v>
      </c>
      <c r="J13" s="60">
        <f>J10*J12</f>
        <v>303.74215143322743</v>
      </c>
      <c r="K13" s="60">
        <f>K10*K12</f>
        <v>313.23241597622427</v>
      </c>
    </row>
    <row r="14" spans="1:11" x14ac:dyDescent="0.2">
      <c r="A14" t="s">
        <v>458</v>
      </c>
      <c r="B14" s="40">
        <f>IF(B7=0,0,B13/B7)</f>
        <v>9.107999999999997</v>
      </c>
      <c r="C14" s="40">
        <f>IF(C7=0,0,C13/C7)</f>
        <v>9.5000399999999985</v>
      </c>
      <c r="D14" s="40">
        <f>IF(D7=0,0,D13/D7)</f>
        <v>9.8997911999999992</v>
      </c>
      <c r="E14" s="40">
        <f>IF(E7=0,0,E13/E7)</f>
        <v>10.307484936000002</v>
      </c>
      <c r="F14" s="40">
        <f>IF(F7=0,0,F13/F7)</f>
        <v>10.72335948408</v>
      </c>
      <c r="G14" s="40">
        <f>IF(G7=0,0,G13/G7)</f>
        <v>11.066660268602401</v>
      </c>
      <c r="H14" s="40">
        <f>IF(H7=0,0,H13/H7)</f>
        <v>11.445640076660473</v>
      </c>
      <c r="I14" s="40">
        <f>IF(I7=0,0,I13/I7)</f>
        <v>11.806559278960288</v>
      </c>
      <c r="J14" s="40">
        <f>IF(J7=0,0,J13/J7)</f>
        <v>12.149686057329097</v>
      </c>
      <c r="K14" s="40">
        <f>IF(K7=0,0,K13/K7)</f>
        <v>12.529296639048971</v>
      </c>
    </row>
    <row r="15" spans="1:11" x14ac:dyDescent="0.2">
      <c r="A15" t="s">
        <v>459</v>
      </c>
      <c r="B15" s="62">
        <f>IF(B10=0,0,B7/(B10/12))</f>
        <v>4.3917435221783059</v>
      </c>
      <c r="C15" s="62">
        <f>IF(C10=0,0,C7/(C10/12))</f>
        <v>4.2105085873322636</v>
      </c>
      <c r="D15" s="62">
        <f>IF(D10=0,0,D7/(D10/12))</f>
        <v>4.0404892579956639</v>
      </c>
      <c r="E15" s="62">
        <f>IF(E10=0,0,E7/(E10/12))</f>
        <v>3.8806750869259767</v>
      </c>
      <c r="F15" s="62">
        <f>IF(F10=0,0,F7/(F10/12))</f>
        <v>3.7301743039934805</v>
      </c>
      <c r="G15" s="62">
        <f>IF(G10=0,0,G7/(G10/12))</f>
        <v>3.6144599209831494</v>
      </c>
      <c r="H15" s="62">
        <f>IF(H10=0,0,H7/(H10/12))</f>
        <v>3.4947805218483605</v>
      </c>
      <c r="I15" s="62">
        <f>IF(I10=0,0,I7/(I10/12))</f>
        <v>3.3879472465175717</v>
      </c>
      <c r="J15" s="62">
        <f>IF(J10=0,0,J7/(J10/12))</f>
        <v>3.2922661385041025</v>
      </c>
      <c r="K15" s="62">
        <f>IF(K10=0,0,K7/(K10/12))</f>
        <v>3.1925175971439184</v>
      </c>
    </row>
    <row r="16" spans="1:11" x14ac:dyDescent="0.2">
      <c r="A16" t="s">
        <v>460</v>
      </c>
      <c r="B16" s="60">
        <f>B8*(1-0.03)-B7/B9</f>
        <v>6.8767833333333312</v>
      </c>
      <c r="C16" s="60">
        <f>C8*(1-0.03)-C7/C9</f>
        <v>7.3521318333333321</v>
      </c>
      <c r="D16" s="60">
        <f>D8*(1-0.03)-D7/D9</f>
        <v>7.8368301633333326</v>
      </c>
      <c r="E16" s="60">
        <f>E8*(1-0.03)-E7/E9</f>
        <v>8.3311588182333338</v>
      </c>
      <c r="F16" s="60">
        <f>F8*(1-0.03)-F7/F9</f>
        <v>8.8354067077803329</v>
      </c>
      <c r="G16" s="60">
        <f>G8*(1-0.03)-G7/G9</f>
        <v>9.2516589090137487</v>
      </c>
      <c r="H16" s="60">
        <f>H8*(1-0.03)-H7/H9</f>
        <v>9.7111719262841589</v>
      </c>
      <c r="I16" s="60">
        <f>I8*(1-0.03)-I7/I9</f>
        <v>10.148786459072682</v>
      </c>
      <c r="J16" s="60">
        <f>J8*(1-0.03)-J7/J9</f>
        <v>10.564827677844864</v>
      </c>
      <c r="K16" s="60">
        <f>K8*(1-0.03)-K7/K9</f>
        <v>11.025105508180211</v>
      </c>
    </row>
    <row r="18" spans="1:11" x14ac:dyDescent="0.2">
      <c r="A18" s="45" t="s">
        <v>461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</row>
    <row r="19" spans="1:11" x14ac:dyDescent="0.2">
      <c r="A19" t="s">
        <v>462</v>
      </c>
      <c r="B19" s="17">
        <f>'Revenue Build'!B34</f>
        <v>96</v>
      </c>
      <c r="C19" s="17">
        <f>'Revenue Build'!C34</f>
        <v>172.8</v>
      </c>
      <c r="D19" s="17">
        <f>'Revenue Build'!D34</f>
        <v>288</v>
      </c>
      <c r="E19" s="17">
        <f>'Revenue Build'!E34</f>
        <v>364.8</v>
      </c>
      <c r="F19" s="17">
        <f>'Revenue Build'!F34</f>
        <v>480</v>
      </c>
      <c r="G19" s="17">
        <f>'Revenue Build'!G34</f>
        <v>528</v>
      </c>
      <c r="H19" s="17">
        <f>'Revenue Build'!H34</f>
        <v>576</v>
      </c>
      <c r="I19" s="17">
        <f>'Revenue Build'!I34</f>
        <v>624</v>
      </c>
      <c r="J19" s="17">
        <f>'Revenue Build'!J34</f>
        <v>652.79999999999995</v>
      </c>
      <c r="K19" s="17">
        <f>'Revenue Build'!K34</f>
        <v>672</v>
      </c>
    </row>
    <row r="20" spans="1:11" x14ac:dyDescent="0.2">
      <c r="A20" t="s">
        <v>463</v>
      </c>
      <c r="B20" s="60">
        <f>'Cost Build'!B6+'Cost Build'!B7+'Cost Build'!B8</f>
        <v>96000</v>
      </c>
      <c r="C20" s="60">
        <f>'Cost Build'!C6+'Cost Build'!C7+'Cost Build'!C8</f>
        <v>172800</v>
      </c>
      <c r="D20" s="60">
        <f>'Cost Build'!D6+'Cost Build'!D7+'Cost Build'!D8</f>
        <v>288000</v>
      </c>
      <c r="E20" s="60">
        <f>'Cost Build'!E6+'Cost Build'!E7+'Cost Build'!E8</f>
        <v>364800</v>
      </c>
      <c r="F20" s="60">
        <f>'Cost Build'!F6+'Cost Build'!F7+'Cost Build'!F8</f>
        <v>480000</v>
      </c>
      <c r="G20" s="60">
        <f>'Cost Build'!G6+'Cost Build'!G7+'Cost Build'!G8</f>
        <v>528000</v>
      </c>
      <c r="H20" s="60">
        <f>'Cost Build'!H6+'Cost Build'!H7+'Cost Build'!H8</f>
        <v>576000</v>
      </c>
      <c r="I20" s="60">
        <f>'Cost Build'!I6+'Cost Build'!I7+'Cost Build'!I8</f>
        <v>624000</v>
      </c>
      <c r="J20" s="60">
        <f>'Cost Build'!J6+'Cost Build'!J7+'Cost Build'!J8</f>
        <v>652800</v>
      </c>
      <c r="K20" s="60">
        <f>'Cost Build'!K6+'Cost Build'!K7+'Cost Build'!K8</f>
        <v>672000</v>
      </c>
    </row>
    <row r="21" spans="1:11" x14ac:dyDescent="0.2">
      <c r="A21" t="s">
        <v>464</v>
      </c>
      <c r="B21" s="60">
        <f>IF(B19=0,0,B20/B19)</f>
        <v>1000</v>
      </c>
      <c r="C21" s="60">
        <f>IF(C19=0,0,C20/C19)</f>
        <v>999.99999999999989</v>
      </c>
      <c r="D21" s="60">
        <f>IF(D19=0,0,D20/D19)</f>
        <v>1000</v>
      </c>
      <c r="E21" s="60">
        <f>IF(E19=0,0,E20/E19)</f>
        <v>1000</v>
      </c>
      <c r="F21" s="60">
        <f>IF(F19=0,0,F20/F19)</f>
        <v>1000</v>
      </c>
      <c r="G21" s="60">
        <f>IF(G19=0,0,G20/G19)</f>
        <v>1000</v>
      </c>
      <c r="H21" s="60">
        <f>IF(H19=0,0,H20/H19)</f>
        <v>1000</v>
      </c>
      <c r="I21" s="60">
        <f>IF(I19=0,0,I20/I19)</f>
        <v>1000</v>
      </c>
      <c r="J21" s="60">
        <f>IF(J19=0,0,J20/J19)</f>
        <v>1000.0000000000001</v>
      </c>
      <c r="K21" s="60">
        <f>IF(K19=0,0,K20/K19)</f>
        <v>1000</v>
      </c>
    </row>
    <row r="22" spans="1:11" x14ac:dyDescent="0.2">
      <c r="A22" t="s">
        <v>465</v>
      </c>
      <c r="B22" s="60">
        <f>IF(B19=0,0,'Revenue Build'!B36/B19)</f>
        <v>10.199999999999999</v>
      </c>
      <c r="C22" s="60">
        <f>IF(C19=0,0,'Revenue Build'!C36/C19)</f>
        <v>10.506</v>
      </c>
      <c r="D22" s="60">
        <f>IF(D19=0,0,'Revenue Build'!D36/D19)</f>
        <v>10.82118</v>
      </c>
      <c r="E22" s="60">
        <f>IF(E19=0,0,'Revenue Build'!E36/E19)</f>
        <v>11.1458154</v>
      </c>
      <c r="F22" s="60">
        <f>IF(F19=0,0,'Revenue Build'!F36/F19)</f>
        <v>11.480189862000001</v>
      </c>
      <c r="G22" s="60">
        <f>IF(G19=0,0,'Revenue Build'!G36/G19)</f>
        <v>11.824595557860002</v>
      </c>
      <c r="H22" s="60">
        <f>IF(H19=0,0,'Revenue Build'!H36/H19)</f>
        <v>12.179333424595802</v>
      </c>
      <c r="I22" s="60">
        <f>IF(I19=0,0,'Revenue Build'!I36/I19)</f>
        <v>12.544713427333676</v>
      </c>
      <c r="J22" s="60">
        <f>IF(J19=0,0,'Revenue Build'!J36/J19)</f>
        <v>12.921054830153688</v>
      </c>
      <c r="K22" s="60">
        <f>IF(K19=0,0,'Revenue Build'!K36/K19)</f>
        <v>13.308686475058298</v>
      </c>
    </row>
    <row r="23" spans="1:11" x14ac:dyDescent="0.2">
      <c r="A23" t="s">
        <v>466</v>
      </c>
      <c r="B23" s="60">
        <f>B22-B21</f>
        <v>-989.8</v>
      </c>
      <c r="C23" s="60">
        <f>C22-C21</f>
        <v>-989.49399999999991</v>
      </c>
      <c r="D23" s="60">
        <f>D22-D21</f>
        <v>-989.17881999999997</v>
      </c>
      <c r="E23" s="60">
        <f>E22-E21</f>
        <v>-988.85418460000005</v>
      </c>
      <c r="F23" s="60">
        <f>F22-F21</f>
        <v>-988.51981013800003</v>
      </c>
      <c r="G23" s="60">
        <f>G22-G21</f>
        <v>-988.17540444214001</v>
      </c>
      <c r="H23" s="60">
        <f>H22-H21</f>
        <v>-987.82066657540418</v>
      </c>
      <c r="I23" s="60">
        <f>I22-I21</f>
        <v>-987.4552865726663</v>
      </c>
      <c r="J23" s="60">
        <f>J22-J21</f>
        <v>-987.07894516984641</v>
      </c>
      <c r="K23" s="60">
        <f>K22-K21</f>
        <v>-986.69131352494173</v>
      </c>
    </row>
    <row r="24" spans="1:11" x14ac:dyDescent="0.2">
      <c r="A24" t="s">
        <v>459</v>
      </c>
      <c r="B24" s="62">
        <f>IF(B22=0,0,B21/(B22*12/B19*B19))*12</f>
        <v>98.039215686274531</v>
      </c>
      <c r="C24" s="62">
        <f>IF(C22=0,0,C21/(C22*12/C19*C19))*12</f>
        <v>95.183704549781083</v>
      </c>
      <c r="D24" s="62">
        <f>IF(D22=0,0,D21/(D22*12/D19*D19))*12</f>
        <v>92.411363640564147</v>
      </c>
      <c r="E24" s="62">
        <f>IF(E22=0,0,E21/(E22*12/E19*E19))*12</f>
        <v>89.71977052481958</v>
      </c>
      <c r="F24" s="62">
        <f>IF(F22=0,0,F21/(F22*12/F19*F19))*12</f>
        <v>87.106573325067529</v>
      </c>
      <c r="G24" s="62">
        <f>IF(G22=0,0,G21/(G22*12/G19*G19))*12</f>
        <v>84.569488665114093</v>
      </c>
      <c r="H24" s="62">
        <f>IF(H22=0,0,H21/(H22*12/H19*H19))*12</f>
        <v>82.106299674868069</v>
      </c>
      <c r="I24" s="62">
        <f>IF(I22=0,0,I21/(I22*12/I19*I19))*12</f>
        <v>79.71485405326996</v>
      </c>
      <c r="J24" s="62">
        <f>IF(J22=0,0,J21/(J22*12/J19*J19))*12</f>
        <v>77.393062187640737</v>
      </c>
      <c r="K24" s="62">
        <f>IF(K22=0,0,K21/(K22*12/K19*K19))*12</f>
        <v>75.138895327806523</v>
      </c>
    </row>
    <row r="25" spans="1:11" x14ac:dyDescent="0.2">
      <c r="A25" t="s">
        <v>467</v>
      </c>
      <c r="B25" s="19">
        <f>IF(B20=0,0,('Revenue Build'!B38-B20)/B20)</f>
        <v>-0.98980000000000001</v>
      </c>
      <c r="C25" s="19">
        <f>IF(C20=0,0,('Revenue Build'!C38-C20)/C20)</f>
        <v>-0.98949399999999998</v>
      </c>
      <c r="D25" s="19">
        <f>IF(D20=0,0,('Revenue Build'!D38-D20)/D20)</f>
        <v>-0.78084548666666664</v>
      </c>
      <c r="E25" s="19">
        <f>IF(E20=0,0,('Revenue Build'!E38-E20)/E20)</f>
        <v>-0.67635418459999996</v>
      </c>
      <c r="F25" s="19">
        <f>IF(F20=0,0,('Revenue Build'!F38-F20)/F20)</f>
        <v>-0.57185314347133342</v>
      </c>
      <c r="G25" s="19">
        <f>IF(G20=0,0,('Revenue Build'!G38-G20)/G20)</f>
        <v>-0.46734207110880666</v>
      </c>
      <c r="H25" s="19">
        <f>IF(H20=0,0,('Revenue Build'!H38-H20)/H20)</f>
        <v>-0.36282066657540418</v>
      </c>
      <c r="I25" s="19">
        <f>IF(I20=0,0,('Revenue Build'!I38-I20)/I20)</f>
        <v>-0.25828861990599966</v>
      </c>
      <c r="J25" s="19">
        <f>IF(J20=0,0,('Revenue Build'!J38-J20)/J20)</f>
        <v>-0.15374561183651292</v>
      </c>
      <c r="K25" s="19">
        <f>IF(K20=0,0,('Revenue Build'!K38-K20)/K20)</f>
        <v>5.497535314172499E-2</v>
      </c>
    </row>
    <row r="27" spans="1:11" x14ac:dyDescent="0.2">
      <c r="A27" s="46" t="s">
        <v>468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</row>
    <row r="28" spans="1:11" x14ac:dyDescent="0.2">
      <c r="A28" t="s">
        <v>469</v>
      </c>
      <c r="B28" s="17">
        <f>'Revenue Build'!B51</f>
        <v>120</v>
      </c>
      <c r="C28" s="17">
        <f>'Revenue Build'!C51</f>
        <v>180</v>
      </c>
      <c r="D28" s="17">
        <f>'Revenue Build'!D51</f>
        <v>300</v>
      </c>
      <c r="E28" s="17">
        <f>'Revenue Build'!E51</f>
        <v>360</v>
      </c>
      <c r="F28" s="17">
        <f>'Revenue Build'!F51</f>
        <v>480</v>
      </c>
      <c r="G28" s="17">
        <f>'Revenue Build'!G51</f>
        <v>480</v>
      </c>
      <c r="H28" s="17">
        <f>'Revenue Build'!H51</f>
        <v>480</v>
      </c>
      <c r="I28" s="17">
        <f>'Revenue Build'!I51</f>
        <v>480</v>
      </c>
      <c r="J28" s="17">
        <f>'Revenue Build'!J51</f>
        <v>480</v>
      </c>
      <c r="K28" s="17">
        <f>'Revenue Build'!K51</f>
        <v>480</v>
      </c>
    </row>
    <row r="29" spans="1:11" x14ac:dyDescent="0.2">
      <c r="A29" t="s">
        <v>470</v>
      </c>
      <c r="B29" s="18">
        <f>'Cost Build'!B9</f>
        <v>30000</v>
      </c>
      <c r="C29" s="18">
        <f>'Cost Build'!C9</f>
        <v>45000</v>
      </c>
      <c r="D29" s="18">
        <f>'Cost Build'!D9</f>
        <v>75000</v>
      </c>
      <c r="E29" s="18">
        <f>'Cost Build'!E9</f>
        <v>90000</v>
      </c>
      <c r="F29" s="18">
        <f>'Cost Build'!F9</f>
        <v>120000</v>
      </c>
      <c r="G29" s="18">
        <f>'Cost Build'!G9</f>
        <v>120000</v>
      </c>
      <c r="H29" s="18">
        <f>'Cost Build'!H9</f>
        <v>120000</v>
      </c>
      <c r="I29" s="18">
        <f>'Cost Build'!I9</f>
        <v>120000</v>
      </c>
      <c r="J29" s="18">
        <f>'Cost Build'!J9</f>
        <v>120000</v>
      </c>
      <c r="K29" s="18">
        <f>'Cost Build'!K9</f>
        <v>120000</v>
      </c>
    </row>
    <row r="30" spans="1:11" x14ac:dyDescent="0.2">
      <c r="A30" t="s">
        <v>471</v>
      </c>
      <c r="B30" s="18">
        <f>IF(B28=0,0,B29/B28)</f>
        <v>250</v>
      </c>
      <c r="C30" s="18">
        <f>IF(C28=0,0,C29/C28)</f>
        <v>250</v>
      </c>
      <c r="D30" s="18">
        <f>IF(D28=0,0,D29/D28)</f>
        <v>250</v>
      </c>
      <c r="E30" s="18">
        <f>IF(E28=0,0,E29/E28)</f>
        <v>250</v>
      </c>
      <c r="F30" s="18">
        <f>IF(F28=0,0,F29/F28)</f>
        <v>250</v>
      </c>
      <c r="G30" s="18">
        <f>IF(G28=0,0,G29/G28)</f>
        <v>250</v>
      </c>
      <c r="H30" s="18">
        <f>IF(H28=0,0,H29/H28)</f>
        <v>250</v>
      </c>
      <c r="I30" s="18">
        <f>IF(I28=0,0,I29/I28)</f>
        <v>250</v>
      </c>
      <c r="J30" s="18">
        <f>IF(J28=0,0,J29/J28)</f>
        <v>250</v>
      </c>
      <c r="K30" s="18">
        <f>IF(K28=0,0,K29/K28)</f>
        <v>250</v>
      </c>
    </row>
    <row r="31" spans="1:11" x14ac:dyDescent="0.2">
      <c r="A31" t="s">
        <v>472</v>
      </c>
      <c r="B31" s="18">
        <f>IF(B28=0,0,'Revenue Build'!B53/B28)</f>
        <v>10.199999999999999</v>
      </c>
      <c r="C31" s="18">
        <f>IF(C28=0,0,'Revenue Build'!C53/C28)</f>
        <v>10.506</v>
      </c>
      <c r="D31" s="18">
        <f>IF(D28=0,0,'Revenue Build'!D53/D28)</f>
        <v>10.82118</v>
      </c>
      <c r="E31" s="18">
        <f>IF(E28=0,0,'Revenue Build'!E53/E28)</f>
        <v>11.145815400000002</v>
      </c>
      <c r="F31" s="18">
        <f>IF(F28=0,0,'Revenue Build'!F53/F28)</f>
        <v>11.480189862000001</v>
      </c>
      <c r="G31" s="18">
        <f>IF(G28=0,0,'Revenue Build'!G53/G28)</f>
        <v>11.824595557860002</v>
      </c>
      <c r="H31" s="18">
        <f>IF(H28=0,0,'Revenue Build'!H53/H28)</f>
        <v>12.179333424595802</v>
      </c>
      <c r="I31" s="18">
        <f>IF(I28=0,0,'Revenue Build'!I53/I28)</f>
        <v>12.544713427333678</v>
      </c>
      <c r="J31" s="18">
        <f>IF(J28=0,0,'Revenue Build'!J53/J28)</f>
        <v>12.921054830153686</v>
      </c>
      <c r="K31" s="18">
        <f>IF(K28=0,0,'Revenue Build'!K53/K28)</f>
        <v>13.308686475058298</v>
      </c>
    </row>
    <row r="32" spans="1:11" x14ac:dyDescent="0.2">
      <c r="A32" t="s">
        <v>473</v>
      </c>
      <c r="B32" s="18">
        <f>IF('Revenue Build'!B41=0,0,'Revenue Build'!B56/'Revenue Build'!B41)</f>
        <v>65612</v>
      </c>
      <c r="C32" s="18">
        <f>IF('Revenue Build'!C41=0,0,'Revenue Build'!C56/'Revenue Build'!C41)</f>
        <v>65630.36</v>
      </c>
      <c r="D32" s="18">
        <f>IF('Revenue Build'!D41=0,0,'Revenue Build'!D56/'Revenue Build'!D41)</f>
        <v>65649.270799999998</v>
      </c>
      <c r="E32" s="18">
        <f>IF('Revenue Build'!E41=0,0,'Revenue Build'!E56/'Revenue Build'!E41)</f>
        <v>65668.748924</v>
      </c>
      <c r="F32" s="18">
        <f>IF('Revenue Build'!F41=0,0,'Revenue Build'!F56/'Revenue Build'!F41)</f>
        <v>65688.811391719995</v>
      </c>
      <c r="G32" s="18">
        <f>IF('Revenue Build'!G41=0,0,'Revenue Build'!G56/'Revenue Build'!G41)</f>
        <v>65709.475733471598</v>
      </c>
      <c r="H32" s="18">
        <f>IF('Revenue Build'!H41=0,0,'Revenue Build'!H56/'Revenue Build'!H41)</f>
        <v>65730.760005475749</v>
      </c>
      <c r="I32" s="18">
        <f>IF('Revenue Build'!I41=0,0,'Revenue Build'!I56/'Revenue Build'!I41)</f>
        <v>65752.682805640012</v>
      </c>
      <c r="J32" s="18">
        <f>IF('Revenue Build'!J41=0,0,'Revenue Build'!J56/'Revenue Build'!J41)</f>
        <v>65775.263289809227</v>
      </c>
      <c r="K32" s="18">
        <f>IF('Revenue Build'!K41=0,0,'Revenue Build'!K56/'Revenue Build'!K41)</f>
        <v>65798.521188503495</v>
      </c>
    </row>
    <row r="33" spans="1:11" x14ac:dyDescent="0.2">
      <c r="A33" t="s">
        <v>474</v>
      </c>
      <c r="B33" s="19">
        <f>IF(B29=0,0,('Revenue Build'!B56-B29)/B29)</f>
        <v>3.3741333333333334</v>
      </c>
      <c r="C33" s="19">
        <f>IF(C29=0,0,('Revenue Build'!C56-C29)/C29)</f>
        <v>3.3753573333333335</v>
      </c>
      <c r="D33" s="19">
        <f>IF(D29=0,0,('Revenue Build'!D56-D29)/D29)</f>
        <v>3.3766180533333334</v>
      </c>
      <c r="E33" s="19">
        <f>IF(E29=0,0,('Revenue Build'!E56-E29)/E29)</f>
        <v>3.3779165949333332</v>
      </c>
      <c r="F33" s="19">
        <f>IF(F29=0,0,('Revenue Build'!F56-F29)/F29)</f>
        <v>3.3792540927813328</v>
      </c>
      <c r="G33" s="19">
        <f>IF(G29=0,0,('Revenue Build'!G56-G29)/G29)</f>
        <v>3.3806317155647734</v>
      </c>
      <c r="H33" s="19">
        <f>IF(H29=0,0,('Revenue Build'!H56-H29)/H29)</f>
        <v>3.3820506670317165</v>
      </c>
      <c r="I33" s="19">
        <f>IF(I29=0,0,('Revenue Build'!I56-I29)/I29)</f>
        <v>3.3835121870426677</v>
      </c>
      <c r="J33" s="19">
        <f>IF(J29=0,0,('Revenue Build'!J56-J29)/J29)</f>
        <v>3.3850175526539483</v>
      </c>
      <c r="K33" s="19">
        <f>IF(K29=0,0,('Revenue Build'!K56-K29)/K29)</f>
        <v>3.3865680792335664</v>
      </c>
    </row>
    <row r="35" spans="1:11" x14ac:dyDescent="0.2">
      <c r="A35" s="47" t="s">
        <v>475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spans="1:11" x14ac:dyDescent="0.2">
      <c r="A36" t="s">
        <v>476</v>
      </c>
      <c r="B36" s="17">
        <f>'Revenue Build'!B59</f>
        <v>5</v>
      </c>
      <c r="C36" s="17">
        <f>'Revenue Build'!C59</f>
        <v>12</v>
      </c>
      <c r="D36" s="17">
        <f>'Revenue Build'!D59</f>
        <v>20</v>
      </c>
      <c r="E36" s="17">
        <f>'Revenue Build'!E59</f>
        <v>30</v>
      </c>
      <c r="F36" s="17">
        <f>'Revenue Build'!F59</f>
        <v>45</v>
      </c>
      <c r="G36" s="17">
        <f>'Revenue Build'!G59</f>
        <v>52</v>
      </c>
      <c r="H36" s="17">
        <f>'Revenue Build'!H59</f>
        <v>58</v>
      </c>
      <c r="I36" s="17">
        <f>'Revenue Build'!I59</f>
        <v>65</v>
      </c>
      <c r="J36" s="17">
        <f>'Revenue Build'!J59</f>
        <v>72</v>
      </c>
      <c r="K36" s="17">
        <f>'Revenue Build'!K59</f>
        <v>80</v>
      </c>
    </row>
    <row r="37" spans="1:11" x14ac:dyDescent="0.2">
      <c r="A37" t="s">
        <v>477</v>
      </c>
      <c r="B37" s="18">
        <f>IF(B36=0,0,'Revenue Build'!B71/B36)</f>
        <v>37500</v>
      </c>
      <c r="C37" s="18">
        <f>IF(C36=0,0,'Revenue Build'!C71/C36)</f>
        <v>45500</v>
      </c>
      <c r="D37" s="18">
        <f>IF(D36=0,0,'Revenue Build'!D71/D36)</f>
        <v>45500</v>
      </c>
      <c r="E37" s="18">
        <f>IF(E36=0,0,'Revenue Build'!E71/E36)</f>
        <v>45500</v>
      </c>
      <c r="F37" s="18">
        <f>IF(F36=0,0,'Revenue Build'!F71/F36)</f>
        <v>45500</v>
      </c>
      <c r="G37" s="18">
        <f>IF(G36=0,0,'Revenue Build'!G71/G36)</f>
        <v>45500</v>
      </c>
      <c r="H37" s="18">
        <f>IF(H36=0,0,'Revenue Build'!H71/H36)</f>
        <v>45500</v>
      </c>
      <c r="I37" s="18">
        <f>IF(I36=0,0,'Revenue Build'!I71/I36)</f>
        <v>45500</v>
      </c>
      <c r="J37" s="18">
        <f>IF(J36=0,0,'Revenue Build'!J71/J36)</f>
        <v>45500</v>
      </c>
      <c r="K37" s="18">
        <f>IF(K36=0,0,'Revenue Build'!K71/K36)</f>
        <v>45500</v>
      </c>
    </row>
    <row r="38" spans="1:11" x14ac:dyDescent="0.2">
      <c r="A38" t="s">
        <v>478</v>
      </c>
      <c r="B38" s="18">
        <f>B37*(1-Assumptions!B80)</f>
        <v>16875</v>
      </c>
      <c r="C38" s="18">
        <f>C37*(1-Assumptions!B80)</f>
        <v>20474.999999999996</v>
      </c>
      <c r="D38" s="18">
        <f>D37*(1-Assumptions!B80)</f>
        <v>20474.999999999996</v>
      </c>
      <c r="E38" s="18">
        <f>E37*(1-Assumptions!B80)</f>
        <v>20474.999999999996</v>
      </c>
      <c r="F38" s="18">
        <f>F37*(1-Assumptions!B80)</f>
        <v>20474.999999999996</v>
      </c>
      <c r="G38" s="18">
        <f>G37*(1-Assumptions!B80)</f>
        <v>20474.999999999996</v>
      </c>
      <c r="H38" s="18">
        <f>H37*(1-Assumptions!B80)</f>
        <v>20474.999999999996</v>
      </c>
      <c r="I38" s="18">
        <f>I37*(1-Assumptions!B80)</f>
        <v>20474.999999999996</v>
      </c>
      <c r="J38" s="18">
        <f>J37*(1-Assumptions!B80)</f>
        <v>20474.999999999996</v>
      </c>
      <c r="K38" s="18">
        <f>K37*(1-Assumptions!B80)</f>
        <v>20474.999999999996</v>
      </c>
    </row>
    <row r="39" spans="1:11" x14ac:dyDescent="0.2">
      <c r="A39" t="s">
        <v>479</v>
      </c>
      <c r="B39" s="11">
        <f>Assumptions!B135</f>
        <v>2500</v>
      </c>
      <c r="C39" s="11">
        <f>Assumptions!B135</f>
        <v>2500</v>
      </c>
      <c r="D39" s="11">
        <f>Assumptions!B135</f>
        <v>2500</v>
      </c>
      <c r="E39" s="11">
        <f>Assumptions!B135</f>
        <v>2500</v>
      </c>
      <c r="F39" s="11">
        <f>Assumptions!B135</f>
        <v>2500</v>
      </c>
      <c r="G39" s="11">
        <f>Assumptions!B135</f>
        <v>2500</v>
      </c>
      <c r="H39" s="11">
        <f>Assumptions!B135</f>
        <v>2500</v>
      </c>
      <c r="I39" s="11">
        <f>Assumptions!B135</f>
        <v>2500</v>
      </c>
      <c r="J39" s="11">
        <f>Assumptions!B135</f>
        <v>2500</v>
      </c>
      <c r="K39" s="11">
        <f>Assumptions!B135</f>
        <v>2500</v>
      </c>
    </row>
    <row r="40" spans="1:11" x14ac:dyDescent="0.2">
      <c r="A40" t="s">
        <v>480</v>
      </c>
      <c r="B40" s="19">
        <f>Assumptions!B79</f>
        <v>0.8</v>
      </c>
      <c r="C40" s="19">
        <f>Assumptions!B79</f>
        <v>0.8</v>
      </c>
      <c r="D40" s="19">
        <f>Assumptions!B79</f>
        <v>0.8</v>
      </c>
      <c r="E40" s="19">
        <f>Assumptions!B79</f>
        <v>0.8</v>
      </c>
      <c r="F40" s="19">
        <f>Assumptions!B79</f>
        <v>0.8</v>
      </c>
      <c r="G40" s="19">
        <f>Assumptions!B79</f>
        <v>0.8</v>
      </c>
      <c r="H40" s="19">
        <f>Assumptions!B79</f>
        <v>0.8</v>
      </c>
      <c r="I40" s="19">
        <f>Assumptions!B79</f>
        <v>0.8</v>
      </c>
      <c r="J40" s="19">
        <f>Assumptions!B79</f>
        <v>0.8</v>
      </c>
      <c r="K40" s="19">
        <f>Assumptions!B79</f>
        <v>0.8</v>
      </c>
    </row>
    <row r="41" spans="1:11" x14ac:dyDescent="0.2">
      <c r="A41" t="s">
        <v>481</v>
      </c>
      <c r="B41" s="62">
        <f>IF((1-B40)=0,0,1/(1-B40))</f>
        <v>5.0000000000000009</v>
      </c>
      <c r="C41" s="62">
        <f>IF((1-C40)=0,0,1/(1-C40))</f>
        <v>5.0000000000000009</v>
      </c>
      <c r="D41" s="62">
        <f>IF((1-D40)=0,0,1/(1-D40))</f>
        <v>5.0000000000000009</v>
      </c>
      <c r="E41" s="62">
        <f>IF((1-E40)=0,0,1/(1-E40))</f>
        <v>5.0000000000000009</v>
      </c>
      <c r="F41" s="62">
        <f>IF((1-F40)=0,0,1/(1-F40))</f>
        <v>5.0000000000000009</v>
      </c>
      <c r="G41" s="62">
        <f>IF((1-G40)=0,0,1/(1-G40))</f>
        <v>5.0000000000000009</v>
      </c>
      <c r="H41" s="62">
        <f>IF((1-H40)=0,0,1/(1-H40))</f>
        <v>5.0000000000000009</v>
      </c>
      <c r="I41" s="62">
        <f>IF((1-I40)=0,0,1/(1-I40))</f>
        <v>5.0000000000000009</v>
      </c>
      <c r="J41" s="62">
        <f>IF((1-J40)=0,0,1/(1-J40))</f>
        <v>5.0000000000000009</v>
      </c>
      <c r="K41" s="62">
        <f>IF((1-K40)=0,0,1/(1-K40))</f>
        <v>5.0000000000000009</v>
      </c>
    </row>
    <row r="42" spans="1:11" x14ac:dyDescent="0.2">
      <c r="A42" t="s">
        <v>482</v>
      </c>
      <c r="B42" s="18">
        <f>B37*B41</f>
        <v>187500.00000000003</v>
      </c>
      <c r="C42" s="18">
        <f>C37*C41</f>
        <v>227500.00000000003</v>
      </c>
      <c r="D42" s="18">
        <f>D37*D41</f>
        <v>227500.00000000003</v>
      </c>
      <c r="E42" s="18">
        <f>E37*E41</f>
        <v>227500.00000000003</v>
      </c>
      <c r="F42" s="18">
        <f>F37*F41</f>
        <v>227500.00000000003</v>
      </c>
      <c r="G42" s="18">
        <f>G37*G41</f>
        <v>227500.00000000003</v>
      </c>
      <c r="H42" s="18">
        <f>H37*H41</f>
        <v>227500.00000000003</v>
      </c>
      <c r="I42" s="18">
        <f>I37*I41</f>
        <v>227500.00000000003</v>
      </c>
      <c r="J42" s="18">
        <f>J37*J41</f>
        <v>227500.00000000003</v>
      </c>
      <c r="K42" s="18">
        <f>K37*K41</f>
        <v>227500.00000000003</v>
      </c>
    </row>
    <row r="43" spans="1:11" x14ac:dyDescent="0.2">
      <c r="A43" t="s">
        <v>458</v>
      </c>
      <c r="B43" s="40">
        <f>IF(B39=0,0,B42/B39)</f>
        <v>75.000000000000014</v>
      </c>
      <c r="C43" s="40">
        <f>IF(C39=0,0,C42/C39)</f>
        <v>91.000000000000014</v>
      </c>
      <c r="D43" s="40">
        <f>IF(D39=0,0,D42/D39)</f>
        <v>91.000000000000014</v>
      </c>
      <c r="E43" s="40">
        <f>IF(E39=0,0,E42/E39)</f>
        <v>91.000000000000014</v>
      </c>
      <c r="F43" s="40">
        <f>IF(F39=0,0,F42/F39)</f>
        <v>91.000000000000014</v>
      </c>
      <c r="G43" s="40">
        <f>IF(G39=0,0,G42/G39)</f>
        <v>91.000000000000014</v>
      </c>
      <c r="H43" s="40">
        <f>IF(H39=0,0,H42/H39)</f>
        <v>91.000000000000014</v>
      </c>
      <c r="I43" s="40">
        <f>IF(I39=0,0,I42/I39)</f>
        <v>91.000000000000014</v>
      </c>
      <c r="J43" s="40">
        <f>IF(J39=0,0,J42/J39)</f>
        <v>91.000000000000014</v>
      </c>
      <c r="K43" s="40">
        <f>IF(K39=0,0,K42/K39)</f>
        <v>91.000000000000014</v>
      </c>
    </row>
    <row r="44" spans="1:11" x14ac:dyDescent="0.2">
      <c r="A44" t="s">
        <v>483</v>
      </c>
      <c r="B44" s="18">
        <f>B38*0.65</f>
        <v>10968.75</v>
      </c>
      <c r="C44" s="18">
        <f>C38*0.65</f>
        <v>13308.749999999998</v>
      </c>
      <c r="D44" s="18">
        <f>D38*0.65</f>
        <v>13308.749999999998</v>
      </c>
      <c r="E44" s="18">
        <f>E38*0.65</f>
        <v>13308.749999999998</v>
      </c>
      <c r="F44" s="18">
        <f>F38*0.65</f>
        <v>13308.749999999998</v>
      </c>
      <c r="G44" s="18">
        <f>G38*0.65</f>
        <v>13308.749999999998</v>
      </c>
      <c r="H44" s="18">
        <f>H38*0.65</f>
        <v>13308.749999999998</v>
      </c>
      <c r="I44" s="18">
        <f>I38*0.65</f>
        <v>13308.749999999998</v>
      </c>
      <c r="J44" s="18">
        <f>J38*0.65</f>
        <v>13308.749999999998</v>
      </c>
      <c r="K44" s="18">
        <f>K38*0.65</f>
        <v>13308.749999999998</v>
      </c>
    </row>
    <row r="70" spans="1:11" x14ac:dyDescent="0.2">
      <c r="A70" s="148" t="s">
        <v>965</v>
      </c>
      <c r="B70" s="149"/>
      <c r="C70" s="149"/>
      <c r="D70" s="149"/>
      <c r="E70" s="149"/>
      <c r="F70" s="149"/>
      <c r="G70" s="149"/>
      <c r="H70" s="149"/>
      <c r="I70" s="149"/>
      <c r="J70" s="149"/>
      <c r="K70" s="149"/>
    </row>
    <row r="71" spans="1:11" x14ac:dyDescent="0.2">
      <c r="A71" s="35" t="s">
        <v>966</v>
      </c>
      <c r="B71" s="35" t="s">
        <v>259</v>
      </c>
      <c r="C71" s="35" t="s">
        <v>260</v>
      </c>
      <c r="D71" s="35" t="s">
        <v>261</v>
      </c>
      <c r="E71" s="35" t="s">
        <v>262</v>
      </c>
      <c r="F71" s="35" t="s">
        <v>263</v>
      </c>
    </row>
    <row r="72" spans="1:11" x14ac:dyDescent="0.2">
      <c r="A72" t="s">
        <v>967</v>
      </c>
      <c r="B72" s="10">
        <v>1</v>
      </c>
      <c r="C72" s="10">
        <v>0.7</v>
      </c>
      <c r="D72" s="10">
        <v>0.8</v>
      </c>
      <c r="E72" s="10">
        <v>0.85</v>
      </c>
      <c r="F72" s="10">
        <v>0.85</v>
      </c>
    </row>
    <row r="73" spans="1:11" x14ac:dyDescent="0.2">
      <c r="A73" t="s">
        <v>968</v>
      </c>
      <c r="B73" s="62">
        <v>100</v>
      </c>
      <c r="C73" s="62">
        <f>B73*C72</f>
        <v>70</v>
      </c>
      <c r="D73" s="62">
        <f>C73*D72</f>
        <v>56</v>
      </c>
      <c r="E73" s="62">
        <f>D73*E72</f>
        <v>47.6</v>
      </c>
      <c r="F73" s="62">
        <f>E73*F72</f>
        <v>40.46</v>
      </c>
    </row>
    <row r="74" spans="1:11" x14ac:dyDescent="0.2">
      <c r="A74" t="s">
        <v>969</v>
      </c>
      <c r="B74" s="8">
        <v>4</v>
      </c>
      <c r="C74" s="8">
        <v>6</v>
      </c>
      <c r="D74" s="8">
        <v>8</v>
      </c>
      <c r="E74" s="8">
        <v>8</v>
      </c>
      <c r="F74" s="8">
        <v>8</v>
      </c>
    </row>
    <row r="75" spans="1:11" x14ac:dyDescent="0.2">
      <c r="A75" t="s">
        <v>49</v>
      </c>
      <c r="B75" s="60">
        <f>Assumptions!B27</f>
        <v>85</v>
      </c>
      <c r="C75" s="60">
        <f>B75*(1+Assumptions!B28)</f>
        <v>87.55</v>
      </c>
      <c r="D75" s="60">
        <f>C75*(1+Assumptions!B28)</f>
        <v>90.176500000000004</v>
      </c>
      <c r="E75" s="60">
        <f>D75*(1+Assumptions!B28)</f>
        <v>92.881795000000011</v>
      </c>
      <c r="F75" s="60">
        <f>E75*(1+Assumptions!B28)</f>
        <v>95.668248850000012</v>
      </c>
    </row>
    <row r="76" spans="1:11" x14ac:dyDescent="0.2">
      <c r="A76" t="s">
        <v>970</v>
      </c>
      <c r="B76" s="18">
        <f>B73*B74*B75</f>
        <v>34000</v>
      </c>
      <c r="C76" s="18">
        <f>C73*C74*C75</f>
        <v>36771</v>
      </c>
      <c r="D76" s="18">
        <f>D73*D74*D75</f>
        <v>40399.072</v>
      </c>
      <c r="E76" s="18">
        <f>E73*E74*E75</f>
        <v>35369.387536000002</v>
      </c>
      <c r="F76" s="18">
        <f>F73*F74*F75</f>
        <v>30965.898787768005</v>
      </c>
    </row>
    <row r="77" spans="1:11" x14ac:dyDescent="0.2">
      <c r="A77" t="s">
        <v>54</v>
      </c>
      <c r="B77" s="19">
        <f>Assumptions!B29</f>
        <v>0.12</v>
      </c>
      <c r="C77" s="19">
        <f>Assumptions!B29</f>
        <v>0.12</v>
      </c>
      <c r="D77" s="19">
        <f>Assumptions!B29</f>
        <v>0.12</v>
      </c>
      <c r="E77" s="19">
        <f>Assumptions!B29</f>
        <v>0.12</v>
      </c>
      <c r="F77" s="19">
        <f>Assumptions!B29</f>
        <v>0.12</v>
      </c>
    </row>
    <row r="78" spans="1:11" x14ac:dyDescent="0.2">
      <c r="A78" t="s">
        <v>971</v>
      </c>
      <c r="B78" s="18">
        <f>B76*B77</f>
        <v>4080</v>
      </c>
      <c r="C78" s="18">
        <f>C76*C77</f>
        <v>4412.5199999999995</v>
      </c>
      <c r="D78" s="18">
        <f>D76*D77</f>
        <v>4847.8886400000001</v>
      </c>
      <c r="E78" s="18">
        <f>E76*E77</f>
        <v>4244.3265043199999</v>
      </c>
      <c r="F78" s="18">
        <f>F76*F77</f>
        <v>3715.9078545321604</v>
      </c>
    </row>
    <row r="79" spans="1:11" x14ac:dyDescent="0.2">
      <c r="A79" t="s">
        <v>972</v>
      </c>
      <c r="B79" s="60">
        <f>IF(B73=0,0,B78/B73)</f>
        <v>40.799999999999997</v>
      </c>
      <c r="C79" s="60">
        <f>IF(C73=0,0,C78/C73)</f>
        <v>63.035999999999994</v>
      </c>
      <c r="D79" s="60">
        <f>IF(D73=0,0,D78/D73)</f>
        <v>86.56944</v>
      </c>
      <c r="E79" s="60">
        <f>IF(E73=0,0,E78/E73)</f>
        <v>89.1665232</v>
      </c>
      <c r="F79" s="60">
        <f>IF(F73=0,0,F78/F73)</f>
        <v>91.841518896000011</v>
      </c>
    </row>
    <row r="80" spans="1:11" x14ac:dyDescent="0.2">
      <c r="A80" t="s">
        <v>973</v>
      </c>
      <c r="B80" s="60">
        <f>B78/100</f>
        <v>40.799999999999997</v>
      </c>
      <c r="C80" s="60">
        <f>B80+C78/100</f>
        <v>84.92519999999999</v>
      </c>
      <c r="D80" s="60">
        <f>C80+D78/100</f>
        <v>133.40408639999998</v>
      </c>
      <c r="E80" s="60">
        <f>D80+E78/100</f>
        <v>175.84735144319998</v>
      </c>
      <c r="F80" s="60">
        <f>E80+F78/100</f>
        <v>213.00642998852157</v>
      </c>
    </row>
    <row r="82" spans="1:6" x14ac:dyDescent="0.2">
      <c r="A82" s="35" t="s">
        <v>974</v>
      </c>
      <c r="B82" s="153"/>
      <c r="C82" s="153"/>
      <c r="D82" s="153"/>
      <c r="E82" s="153"/>
      <c r="F82" s="153"/>
    </row>
    <row r="83" spans="1:6" x14ac:dyDescent="0.2">
      <c r="A83" t="s">
        <v>975</v>
      </c>
      <c r="B83" s="60">
        <f>F80</f>
        <v>213.00642998852157</v>
      </c>
    </row>
    <row r="84" spans="1:6" x14ac:dyDescent="0.2">
      <c r="A84" t="s">
        <v>976</v>
      </c>
      <c r="B84" s="60">
        <f>-Assumptions!B132</f>
        <v>-25</v>
      </c>
    </row>
    <row r="85" spans="1:6" x14ac:dyDescent="0.2">
      <c r="A85" s="21" t="s">
        <v>977</v>
      </c>
      <c r="B85" s="154">
        <f>B83+B84</f>
        <v>188.00642998852157</v>
      </c>
    </row>
    <row r="86" spans="1:6" x14ac:dyDescent="0.2">
      <c r="A86" t="s">
        <v>459</v>
      </c>
      <c r="B86" s="62">
        <f>IF(B79=0,0,(-B84)/(B79/100/12))</f>
        <v>735.2941176470589</v>
      </c>
    </row>
    <row r="87" spans="1:6" x14ac:dyDescent="0.2">
      <c r="A87" s="21" t="s">
        <v>978</v>
      </c>
      <c r="B87" s="73">
        <f>IF(B84=0,0,B83/(-B84))</f>
        <v>8.5202571995408629</v>
      </c>
    </row>
  </sheetData>
  <mergeCells count="6">
    <mergeCell ref="A1:K1"/>
    <mergeCell ref="A4:K4"/>
    <mergeCell ref="A18:K18"/>
    <mergeCell ref="A27:K27"/>
    <mergeCell ref="A35:K35"/>
    <mergeCell ref="A70:K7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0FE7-B67D-5A41-8B80-90C1D9AD2F5A}">
  <sheetPr>
    <tabColor rgb="FF2E75B6"/>
  </sheetPr>
  <dimension ref="A1:K70"/>
  <sheetViews>
    <sheetView workbookViewId="0">
      <selection sqref="A1:K1"/>
    </sheetView>
  </sheetViews>
  <sheetFormatPr baseColWidth="10" defaultRowHeight="16" x14ac:dyDescent="0.2"/>
  <cols>
    <col min="1" max="1" width="43.33203125" customWidth="1"/>
    <col min="2" max="6" width="15.83203125" customWidth="1"/>
    <col min="7" max="7" width="36.6640625" customWidth="1"/>
    <col min="8" max="13" width="15.83203125" customWidth="1"/>
  </cols>
  <sheetData>
    <row r="1" spans="1:11" ht="19" x14ac:dyDescent="0.25">
      <c r="A1" s="1" t="s">
        <v>484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3"/>
      <c r="B2" s="13" t="s">
        <v>259</v>
      </c>
      <c r="C2" s="13" t="s">
        <v>260</v>
      </c>
      <c r="D2" s="13" t="s">
        <v>261</v>
      </c>
      <c r="E2" s="13" t="s">
        <v>262</v>
      </c>
      <c r="F2" s="13" t="s">
        <v>263</v>
      </c>
      <c r="G2" s="13" t="s">
        <v>264</v>
      </c>
      <c r="H2" s="13" t="s">
        <v>265</v>
      </c>
      <c r="I2" s="13" t="s">
        <v>266</v>
      </c>
      <c r="J2" s="13" t="s">
        <v>267</v>
      </c>
      <c r="K2" s="13" t="s">
        <v>268</v>
      </c>
    </row>
    <row r="4" spans="1:11" x14ac:dyDescent="0.2">
      <c r="A4" s="56" t="s">
        <v>485</v>
      </c>
    </row>
    <row r="5" spans="1:11" x14ac:dyDescent="0.2">
      <c r="A5" s="58" t="s">
        <v>190</v>
      </c>
      <c r="B5" s="65">
        <f>Assumptions!B109</f>
        <v>0.15</v>
      </c>
    </row>
    <row r="6" spans="1:11" x14ac:dyDescent="0.2">
      <c r="A6" s="58" t="s">
        <v>192</v>
      </c>
      <c r="B6" s="65">
        <f>Assumptions!B110</f>
        <v>0.03</v>
      </c>
    </row>
    <row r="7" spans="1:11" x14ac:dyDescent="0.2">
      <c r="A7" s="58" t="s">
        <v>486</v>
      </c>
      <c r="B7" s="66">
        <f>Assumptions!B111</f>
        <v>12</v>
      </c>
    </row>
    <row r="8" spans="1:11" x14ac:dyDescent="0.2">
      <c r="A8" s="58" t="s">
        <v>487</v>
      </c>
      <c r="B8" s="65">
        <f>Assumptions!B108</f>
        <v>0.25</v>
      </c>
    </row>
    <row r="10" spans="1:11" x14ac:dyDescent="0.2">
      <c r="A10" s="13" t="s">
        <v>488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</row>
    <row r="11" spans="1:11" x14ac:dyDescent="0.2">
      <c r="A11" s="58" t="s">
        <v>387</v>
      </c>
      <c r="B11" s="51">
        <f>'10-Yr Projection'!B9</f>
        <v>584800.64799999993</v>
      </c>
      <c r="C11" s="51">
        <f>'10-Yr Projection'!C9</f>
        <v>1205553.4572000001</v>
      </c>
      <c r="D11" s="51">
        <f>'10-Yr Projection'!D9</f>
        <v>2069745.0476191998</v>
      </c>
      <c r="E11" s="51">
        <f>'10-Yr Projection'!E9</f>
        <v>2877110.6754926401</v>
      </c>
      <c r="F11" s="51">
        <f>'10-Yr Projection'!F9</f>
        <v>4131015.4205565937</v>
      </c>
      <c r="G11" s="51">
        <f>'10-Yr Projection'!G9</f>
        <v>4676081.5232860502</v>
      </c>
      <c r="H11" s="51">
        <f>'10-Yr Projection'!H9</f>
        <v>5197545.3764527719</v>
      </c>
      <c r="I11" s="51">
        <f>'10-Yr Projection'!I9</f>
        <v>5779105.1736153392</v>
      </c>
      <c r="J11" s="51">
        <f>'10-Yr Projection'!J9</f>
        <v>6287807.5386141911</v>
      </c>
      <c r="K11" s="51">
        <f>'10-Yr Projection'!K9</f>
        <v>6941838.6186841698</v>
      </c>
    </row>
    <row r="12" spans="1:11" x14ac:dyDescent="0.2">
      <c r="A12" s="58" t="s">
        <v>406</v>
      </c>
      <c r="B12" s="51">
        <f>'10-Yr Projection'!B25</f>
        <v>-715646.60496000014</v>
      </c>
      <c r="C12" s="51">
        <f>'10-Yr Projection'!C25</f>
        <v>-651336.82394399995</v>
      </c>
      <c r="D12" s="51">
        <f>'10-Yr Projection'!D25</f>
        <v>-219866.69470918411</v>
      </c>
      <c r="E12" s="51">
        <f>'10-Yr Projection'!E25</f>
        <v>-5610.3400388127193</v>
      </c>
      <c r="F12" s="51">
        <f>'10-Yr Projection'!F25</f>
        <v>652175.48733853921</v>
      </c>
      <c r="G12" s="51">
        <f>'10-Yr Projection'!G25</f>
        <v>911168.83267372777</v>
      </c>
      <c r="H12" s="51">
        <f>'10-Yr Projection'!H25</f>
        <v>954215.76255930611</v>
      </c>
      <c r="I12" s="51">
        <f>'10-Yr Projection'!I25</f>
        <v>1235087.3075123539</v>
      </c>
      <c r="J12" s="51">
        <f>'10-Yr Projection'!J25</f>
        <v>1252885.2273745197</v>
      </c>
      <c r="K12" s="51">
        <f>'10-Yr Projection'!K25</f>
        <v>1609199.4408494718</v>
      </c>
    </row>
    <row r="13" spans="1:11" x14ac:dyDescent="0.2">
      <c r="A13" s="58" t="s">
        <v>432</v>
      </c>
      <c r="B13" s="19">
        <f>IF(B11=0,0,B12/B11)</f>
        <v>-1.2237445485183529</v>
      </c>
      <c r="C13" s="19">
        <f>IF(C11=0,0,C12/C11)</f>
        <v>-0.54028033352978377</v>
      </c>
      <c r="D13" s="19">
        <f>IF(D11=0,0,D12/D11)</f>
        <v>-0.10622887826792669</v>
      </c>
      <c r="E13" s="19">
        <f>IF(E11=0,0,E12/E11)</f>
        <v>-1.9499910401785552E-3</v>
      </c>
      <c r="F13" s="19">
        <f>IF(F11=0,0,F12/F11)</f>
        <v>0.1578729249213667</v>
      </c>
      <c r="G13" s="19">
        <f>IF(G11=0,0,G12/G11)</f>
        <v>0.19485734543682992</v>
      </c>
      <c r="H13" s="19">
        <f>IF(H11=0,0,H12/H11)</f>
        <v>0.1835896934892256</v>
      </c>
      <c r="I13" s="19">
        <f>IF(I11=0,0,I12/I11)</f>
        <v>0.21371601145990185</v>
      </c>
      <c r="J13" s="19">
        <f>IF(J11=0,0,J12/J11)</f>
        <v>0.19925629397534816</v>
      </c>
      <c r="K13" s="19">
        <f>IF(K11=0,0,K12/K11)</f>
        <v>0.23181170425343259</v>
      </c>
    </row>
    <row r="14" spans="1:11" x14ac:dyDescent="0.2">
      <c r="A14" s="58" t="s">
        <v>489</v>
      </c>
      <c r="B14" s="51">
        <f>'10-Yr Projection'!B32</f>
        <v>0</v>
      </c>
      <c r="C14" s="51">
        <f>'10-Yr Projection'!C32</f>
        <v>0</v>
      </c>
      <c r="D14" s="51">
        <f>'10-Yr Projection'!D32</f>
        <v>0</v>
      </c>
      <c r="E14" s="51">
        <f>'10-Yr Projection'!E32</f>
        <v>0</v>
      </c>
      <c r="F14" s="51">
        <f>'10-Yr Projection'!F32</f>
        <v>132061.25618046036</v>
      </c>
      <c r="G14" s="51">
        <f>'10-Yr Projection'!G32</f>
        <v>192721.59674378656</v>
      </c>
      <c r="H14" s="51">
        <f>'10-Yr Projection'!H32</f>
        <v>199572.35031643073</v>
      </c>
      <c r="I14" s="51">
        <f>'10-Yr Projection'!I32</f>
        <v>265428.5380759734</v>
      </c>
      <c r="J14" s="51">
        <f>'10-Yr Projection'!J32</f>
        <v>266062.7503040235</v>
      </c>
      <c r="K14" s="51">
        <f>'10-Yr Projection'!K32</f>
        <v>350236.07057223667</v>
      </c>
    </row>
    <row r="15" spans="1:11" x14ac:dyDescent="0.2">
      <c r="A15" s="58" t="s">
        <v>490</v>
      </c>
      <c r="B15" s="51">
        <f>'10-Yr Projection'!B44</f>
        <v>29240.032399999996</v>
      </c>
      <c r="C15" s="51">
        <f>'10-Yr Projection'!C44</f>
        <v>60277.672860000006</v>
      </c>
      <c r="D15" s="51">
        <f>'10-Yr Projection'!D44</f>
        <v>103487.25238096</v>
      </c>
      <c r="E15" s="51">
        <f>'10-Yr Projection'!E44</f>
        <v>143855.533774632</v>
      </c>
      <c r="F15" s="51">
        <f>'10-Yr Projection'!F44</f>
        <v>206550.7710278297</v>
      </c>
      <c r="G15" s="51">
        <f>'10-Yr Projection'!G44</f>
        <v>233804.07616430253</v>
      </c>
      <c r="H15" s="51">
        <f>'10-Yr Projection'!H44</f>
        <v>259877.26882263861</v>
      </c>
      <c r="I15" s="51">
        <f>'10-Yr Projection'!I44</f>
        <v>288955.25868076697</v>
      </c>
      <c r="J15" s="51">
        <f>'10-Yr Projection'!J44</f>
        <v>314390.37693070958</v>
      </c>
      <c r="K15" s="51">
        <f>'10-Yr Projection'!K44</f>
        <v>347091.9309342085</v>
      </c>
    </row>
    <row r="16" spans="1:11" x14ac:dyDescent="0.2">
      <c r="A16" s="58" t="s">
        <v>491</v>
      </c>
      <c r="B16" s="51">
        <f>'10-Yr Projection'!B41</f>
        <v>46784.051839999993</v>
      </c>
      <c r="C16" s="51">
        <f>'10-Yr Projection'!C41</f>
        <v>49660.224736000011</v>
      </c>
      <c r="D16" s="51">
        <f>'10-Yr Projection'!D41</f>
        <v>69135.32723353598</v>
      </c>
      <c r="E16" s="51">
        <f>'10-Yr Projection'!E41</f>
        <v>64589.250229875222</v>
      </c>
      <c r="F16" s="51">
        <f>'10-Yr Projection'!F41</f>
        <v>100312.37960511629</v>
      </c>
      <c r="G16" s="51">
        <f>'10-Yr Projection'!G41</f>
        <v>43605.288218356523</v>
      </c>
      <c r="H16" s="51">
        <f>'10-Yr Projection'!H41</f>
        <v>41717.108253337741</v>
      </c>
      <c r="I16" s="51">
        <f>'10-Yr Projection'!I41</f>
        <v>46524.78377300538</v>
      </c>
      <c r="J16" s="51">
        <f>'10-Yr Projection'!J41</f>
        <v>40696.189199908156</v>
      </c>
      <c r="K16" s="51">
        <f>'10-Yr Projection'!K41</f>
        <v>52322.486405598298</v>
      </c>
    </row>
    <row r="17" spans="1:11" x14ac:dyDescent="0.2">
      <c r="A17" s="58" t="s">
        <v>492</v>
      </c>
      <c r="B17" s="51">
        <f>'10-Yr Projection'!B28</f>
        <v>17544.019439999996</v>
      </c>
      <c r="C17" s="51">
        <f>'10-Yr Projection'!C28</f>
        <v>36166.603715999998</v>
      </c>
      <c r="D17" s="51">
        <f>'10-Yr Projection'!D28</f>
        <v>62092.351428575996</v>
      </c>
      <c r="E17" s="51">
        <f>'10-Yr Projection'!E28</f>
        <v>86313.320264779206</v>
      </c>
      <c r="F17" s="51">
        <f>'10-Yr Projection'!F28</f>
        <v>123930.46261669781</v>
      </c>
      <c r="G17" s="51">
        <f>'10-Yr Projection'!G28</f>
        <v>140282.44569858149</v>
      </c>
      <c r="H17" s="51">
        <f>'10-Yr Projection'!H28</f>
        <v>155926.36129358315</v>
      </c>
      <c r="I17" s="51">
        <f>'10-Yr Projection'!I28</f>
        <v>173373.15520846017</v>
      </c>
      <c r="J17" s="51">
        <f>'10-Yr Projection'!J28</f>
        <v>188634.22615842574</v>
      </c>
      <c r="K17" s="51">
        <f>'10-Yr Projection'!K28</f>
        <v>208255.15856052507</v>
      </c>
    </row>
    <row r="18" spans="1:11" x14ac:dyDescent="0.2">
      <c r="A18" s="21" t="s">
        <v>493</v>
      </c>
      <c r="B18" s="55">
        <f>'10-Yr Projection'!B47</f>
        <v>-791670.68920000014</v>
      </c>
      <c r="C18" s="55">
        <f>'10-Yr Projection'!C47</f>
        <v>-761274.72154000006</v>
      </c>
      <c r="D18" s="55">
        <f>'10-Yr Projection'!D47</f>
        <v>-392489.27432368009</v>
      </c>
      <c r="E18" s="55">
        <f>'10-Yr Projection'!E47</f>
        <v>-214055.12404331996</v>
      </c>
      <c r="F18" s="55">
        <f>'10-Yr Projection'!F47</f>
        <v>213251.08052513297</v>
      </c>
      <c r="G18" s="55">
        <f>'10-Yr Projection'!G47</f>
        <v>441037.87154728209</v>
      </c>
      <c r="H18" s="55">
        <f>'10-Yr Projection'!H47</f>
        <v>453049.03516689903</v>
      </c>
      <c r="I18" s="55">
        <f>'10-Yr Projection'!I47</f>
        <v>634178.72698260797</v>
      </c>
      <c r="J18" s="55">
        <f>'10-Yr Projection'!J47</f>
        <v>631735.91093987843</v>
      </c>
      <c r="K18" s="55">
        <f>'10-Yr Projection'!K47</f>
        <v>859548.95293742861</v>
      </c>
    </row>
    <row r="20" spans="1:11" x14ac:dyDescent="0.2">
      <c r="A20" s="13" t="s">
        <v>494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x14ac:dyDescent="0.2">
      <c r="A21" t="s">
        <v>495</v>
      </c>
      <c r="B21" s="68">
        <v>1</v>
      </c>
      <c r="C21" s="68">
        <v>2</v>
      </c>
      <c r="D21" s="68">
        <v>3</v>
      </c>
      <c r="E21" s="68">
        <v>4</v>
      </c>
      <c r="F21" s="68">
        <v>5</v>
      </c>
      <c r="G21" s="68">
        <v>6</v>
      </c>
      <c r="H21" s="68">
        <v>7</v>
      </c>
      <c r="I21" s="68">
        <v>8</v>
      </c>
      <c r="J21" s="68">
        <v>9</v>
      </c>
      <c r="K21" s="68">
        <v>10</v>
      </c>
    </row>
    <row r="22" spans="1:11" x14ac:dyDescent="0.2">
      <c r="A22" t="s">
        <v>496</v>
      </c>
      <c r="B22" s="69">
        <f>1/(1+$B$5)^B21</f>
        <v>0.86956521739130443</v>
      </c>
      <c r="C22" s="69">
        <f>1/(1+$B$5)^C21</f>
        <v>0.7561436672967865</v>
      </c>
      <c r="D22" s="69">
        <f>1/(1+$B$5)^D21</f>
        <v>0.65751623243198831</v>
      </c>
      <c r="E22" s="69">
        <f>1/(1+$B$5)^E21</f>
        <v>0.57175324559303342</v>
      </c>
      <c r="F22" s="69">
        <f>1/(1+$B$5)^F21</f>
        <v>0.49717673529828987</v>
      </c>
      <c r="G22" s="69">
        <f>1/(1+$B$5)^G21</f>
        <v>0.43232759591155645</v>
      </c>
      <c r="H22" s="69">
        <f>1/(1+$B$5)^H21</f>
        <v>0.37593703992309269</v>
      </c>
      <c r="I22" s="69">
        <f>1/(1+$B$5)^I21</f>
        <v>0.32690177384616753</v>
      </c>
      <c r="J22" s="69">
        <f>1/(1+$B$5)^J21</f>
        <v>0.28426241204014574</v>
      </c>
      <c r="K22" s="69">
        <f>1/(1+$B$5)^K21</f>
        <v>0.24718470612186585</v>
      </c>
    </row>
    <row r="23" spans="1:11" x14ac:dyDescent="0.2">
      <c r="A23" t="s">
        <v>497</v>
      </c>
      <c r="B23" s="51">
        <f>B18*B22</f>
        <v>-688409.29495652195</v>
      </c>
      <c r="C23" s="51">
        <f>C18*C22</f>
        <v>-575633.05976559559</v>
      </c>
      <c r="D23" s="51">
        <f>D18*D22</f>
        <v>-258068.06892327126</v>
      </c>
      <c r="E23" s="51">
        <f>E18*E22</f>
        <v>-122386.71190758755</v>
      </c>
      <c r="F23" s="51">
        <f>F18*F22</f>
        <v>106023.47601431834</v>
      </c>
      <c r="G23" s="51">
        <f>G18*G22</f>
        <v>190672.8427119863</v>
      </c>
      <c r="H23" s="51">
        <f>H18*H22</f>
        <v>170317.91322065715</v>
      </c>
      <c r="I23" s="51">
        <f>I18*I22</f>
        <v>207314.15078611893</v>
      </c>
      <c r="J23" s="51">
        <f>J18*J22</f>
        <v>179578.77381614855</v>
      </c>
      <c r="K23" s="51">
        <f>K18*K22</f>
        <v>212467.35532919579</v>
      </c>
    </row>
    <row r="25" spans="1:11" x14ac:dyDescent="0.2">
      <c r="A25" t="s">
        <v>498</v>
      </c>
      <c r="B25" s="20">
        <f>SUM(B23:K23)</f>
        <v>-578122.62367455103</v>
      </c>
    </row>
    <row r="27" spans="1:11" x14ac:dyDescent="0.2">
      <c r="A27" t="s">
        <v>499</v>
      </c>
    </row>
    <row r="28" spans="1:11" x14ac:dyDescent="0.2">
      <c r="A28" t="s">
        <v>500</v>
      </c>
      <c r="B28" s="18">
        <f>K18</f>
        <v>859548.95293742861</v>
      </c>
    </row>
    <row r="29" spans="1:11" x14ac:dyDescent="0.2">
      <c r="A29" t="s">
        <v>501</v>
      </c>
      <c r="B29" s="18">
        <f>B28*(1+B6)/(B5-B6)</f>
        <v>7377795.1793795954</v>
      </c>
    </row>
    <row r="30" spans="1:11" x14ac:dyDescent="0.2">
      <c r="A30" t="s">
        <v>502</v>
      </c>
      <c r="B30" s="18">
        <f>B29/(1+B5)^10</f>
        <v>1823678.1332422639</v>
      </c>
    </row>
    <row r="32" spans="1:11" x14ac:dyDescent="0.2">
      <c r="A32" t="s">
        <v>503</v>
      </c>
    </row>
    <row r="33" spans="1:2" x14ac:dyDescent="0.2">
      <c r="A33" t="s">
        <v>504</v>
      </c>
      <c r="B33" s="18">
        <f>K12</f>
        <v>1609199.4408494718</v>
      </c>
    </row>
    <row r="34" spans="1:2" x14ac:dyDescent="0.2">
      <c r="A34" t="s">
        <v>505</v>
      </c>
      <c r="B34" s="64">
        <f>B7</f>
        <v>12</v>
      </c>
    </row>
    <row r="35" spans="1:2" x14ac:dyDescent="0.2">
      <c r="A35" t="s">
        <v>506</v>
      </c>
      <c r="B35" s="18">
        <f>B33*B34</f>
        <v>19310393.290193662</v>
      </c>
    </row>
    <row r="36" spans="1:2" x14ac:dyDescent="0.2">
      <c r="A36" t="s">
        <v>507</v>
      </c>
      <c r="B36" s="18">
        <f>B35/(1+B5)^10</f>
        <v>4773233.8905341709</v>
      </c>
    </row>
    <row r="38" spans="1:2" x14ac:dyDescent="0.2">
      <c r="A38" t="s">
        <v>508</v>
      </c>
    </row>
    <row r="39" spans="1:2" x14ac:dyDescent="0.2">
      <c r="A39" s="5" t="s">
        <v>509</v>
      </c>
      <c r="B39" s="18">
        <f>B25</f>
        <v>-578122.62367455103</v>
      </c>
    </row>
    <row r="40" spans="1:2" x14ac:dyDescent="0.2">
      <c r="A40" s="5" t="s">
        <v>510</v>
      </c>
      <c r="B40" s="18">
        <f>B30</f>
        <v>1823678.1332422639</v>
      </c>
    </row>
    <row r="41" spans="1:2" x14ac:dyDescent="0.2">
      <c r="A41" s="5" t="s">
        <v>511</v>
      </c>
      <c r="B41" s="18">
        <f>B36</f>
        <v>4773233.8905341709</v>
      </c>
    </row>
    <row r="43" spans="1:2" x14ac:dyDescent="0.2">
      <c r="A43" s="21" t="s">
        <v>512</v>
      </c>
      <c r="B43" s="22">
        <f>B39+B40</f>
        <v>1245555.5095677129</v>
      </c>
    </row>
    <row r="44" spans="1:2" x14ac:dyDescent="0.2">
      <c r="A44" s="21" t="s">
        <v>513</v>
      </c>
      <c r="B44" s="22">
        <f>B39+B41</f>
        <v>4195111.2668596199</v>
      </c>
    </row>
    <row r="45" spans="1:2" x14ac:dyDescent="0.2">
      <c r="A45" s="56" t="s">
        <v>514</v>
      </c>
      <c r="B45" s="71">
        <f>(B43+B44)/2</f>
        <v>2720333.3882136662</v>
      </c>
    </row>
    <row r="47" spans="1:2" x14ac:dyDescent="0.2">
      <c r="A47" t="s">
        <v>515</v>
      </c>
    </row>
    <row r="48" spans="1:2" x14ac:dyDescent="0.2">
      <c r="A48" t="s">
        <v>516</v>
      </c>
      <c r="B48" s="40">
        <f>IF(B11=0,0,B45/B11)</f>
        <v>4.651727725537107</v>
      </c>
    </row>
    <row r="49" spans="1:11" x14ac:dyDescent="0.2">
      <c r="A49" t="s">
        <v>517</v>
      </c>
      <c r="B49" s="40">
        <f>IF(F11=0,0,B45/F11)</f>
        <v>0.65851445982913837</v>
      </c>
    </row>
    <row r="50" spans="1:11" x14ac:dyDescent="0.2">
      <c r="A50" t="s">
        <v>518</v>
      </c>
      <c r="B50" s="40">
        <f>IF(K11=0,0,B45/K11)</f>
        <v>0.39187505467093486</v>
      </c>
    </row>
    <row r="51" spans="1:11" x14ac:dyDescent="0.2">
      <c r="A51" t="s">
        <v>519</v>
      </c>
      <c r="B51" s="40">
        <f>IF(F12=0,0,B45/F12)</f>
        <v>4.1711677930660436</v>
      </c>
    </row>
    <row r="52" spans="1:11" x14ac:dyDescent="0.2">
      <c r="A52" t="s">
        <v>520</v>
      </c>
      <c r="B52" s="40">
        <f>IF(K12=0,0,B45/K12)</f>
        <v>1.6904886486771606</v>
      </c>
    </row>
    <row r="55" spans="1:11" x14ac:dyDescent="0.2">
      <c r="A55" s="148" t="s">
        <v>979</v>
      </c>
      <c r="B55" s="149"/>
      <c r="C55" s="149"/>
      <c r="D55" s="149"/>
      <c r="E55" s="149"/>
      <c r="F55" s="149"/>
      <c r="G55" s="149"/>
      <c r="H55" s="149"/>
      <c r="I55" s="149"/>
      <c r="J55" s="149"/>
      <c r="K55" s="149"/>
    </row>
    <row r="56" spans="1:11" x14ac:dyDescent="0.2">
      <c r="A56" s="35" t="s">
        <v>799</v>
      </c>
      <c r="B56" s="35" t="s">
        <v>980</v>
      </c>
      <c r="C56" s="35" t="s">
        <v>981</v>
      </c>
      <c r="D56" s="35" t="s">
        <v>982</v>
      </c>
      <c r="E56" s="35" t="s">
        <v>983</v>
      </c>
      <c r="F56" s="35" t="s">
        <v>984</v>
      </c>
    </row>
    <row r="57" spans="1:11" x14ac:dyDescent="0.2">
      <c r="A57" t="s">
        <v>985</v>
      </c>
      <c r="B57" s="18">
        <f>'Revenue Build'!K20</f>
        <v>2066507.0118649029</v>
      </c>
      <c r="C57" s="18">
        <f>B57*0.3</f>
        <v>619952.10355947085</v>
      </c>
      <c r="D57" s="90">
        <v>15</v>
      </c>
      <c r="E57" s="18">
        <f>C57*D57</f>
        <v>9299281.553392062</v>
      </c>
      <c r="F57" s="19">
        <f>IF(E61=0,0,E57/E61)</f>
        <v>0.49918751961974656</v>
      </c>
      <c r="G57" s="155" t="s">
        <v>989</v>
      </c>
    </row>
    <row r="58" spans="1:11" x14ac:dyDescent="0.2">
      <c r="A58" t="s">
        <v>986</v>
      </c>
      <c r="B58" s="18">
        <f>'Revenue Build'!K38</f>
        <v>708943.43731123919</v>
      </c>
      <c r="C58" s="18">
        <f>B58*0.2</f>
        <v>141788.68746224785</v>
      </c>
      <c r="D58" s="90">
        <v>10</v>
      </c>
      <c r="E58" s="18">
        <f>C58*D58</f>
        <v>1417886.8746224786</v>
      </c>
      <c r="F58" s="19">
        <f>IF(E61=0,0,E58/E61)</f>
        <v>7.6112485462493759E-2</v>
      </c>
      <c r="G58" s="155" t="s">
        <v>990</v>
      </c>
    </row>
    <row r="59" spans="1:11" x14ac:dyDescent="0.2">
      <c r="A59" t="s">
        <v>987</v>
      </c>
      <c r="B59" s="18">
        <f>'Revenue Build'!K56</f>
        <v>526388.16950802796</v>
      </c>
      <c r="C59" s="18">
        <f>B59*0.15</f>
        <v>78958.225426204197</v>
      </c>
      <c r="D59" s="90">
        <v>8</v>
      </c>
      <c r="E59" s="18">
        <f>C59*D59</f>
        <v>631665.80340963358</v>
      </c>
      <c r="F59" s="19">
        <f>IF(E61=0,0,E59/E61)</f>
        <v>3.3907962009995442E-2</v>
      </c>
      <c r="G59" s="155" t="s">
        <v>991</v>
      </c>
    </row>
    <row r="60" spans="1:11" x14ac:dyDescent="0.2">
      <c r="A60" t="s">
        <v>988</v>
      </c>
      <c r="B60" s="18">
        <f>'Revenue Build'!K71</f>
        <v>3640000</v>
      </c>
      <c r="C60" s="18">
        <f>B60*0.25</f>
        <v>910000</v>
      </c>
      <c r="D60" s="90">
        <v>8</v>
      </c>
      <c r="E60" s="18">
        <f>C60*D60</f>
        <v>7280000</v>
      </c>
      <c r="F60" s="19">
        <f>IF(E61=0,0,E60/E61)</f>
        <v>0.39079203290776415</v>
      </c>
      <c r="G60" s="155" t="s">
        <v>992</v>
      </c>
    </row>
    <row r="61" spans="1:11" ht="17" thickBot="1" x14ac:dyDescent="0.25">
      <c r="A61" s="23" t="s">
        <v>993</v>
      </c>
      <c r="B61" s="24">
        <f>SUM(B57:B60)</f>
        <v>6941838.6186841698</v>
      </c>
      <c r="C61" s="24">
        <f>SUM(C57:C60)</f>
        <v>1750699.0164479227</v>
      </c>
      <c r="D61" s="24"/>
      <c r="E61" s="24">
        <f>SUM(E57:E60)</f>
        <v>18628834.231424175</v>
      </c>
      <c r="F61" s="156">
        <f>SUM(F57:F60)</f>
        <v>1</v>
      </c>
    </row>
    <row r="62" spans="1:11" ht="17" thickTop="1" x14ac:dyDescent="0.2">
      <c r="A62" s="5" t="s">
        <v>994</v>
      </c>
      <c r="B62" s="5"/>
      <c r="C62" s="5"/>
      <c r="D62" s="5"/>
      <c r="E62" s="20">
        <f>E61/(1+B5)^10</f>
        <v>4604762.91488754</v>
      </c>
    </row>
    <row r="64" spans="1:11" x14ac:dyDescent="0.2">
      <c r="A64" s="56" t="s">
        <v>995</v>
      </c>
      <c r="B64" s="58"/>
      <c r="C64" s="58"/>
      <c r="D64" s="58"/>
    </row>
    <row r="65" spans="1:3" x14ac:dyDescent="0.2">
      <c r="A65" s="5" t="s">
        <v>996</v>
      </c>
      <c r="B65" s="5" t="s">
        <v>997</v>
      </c>
      <c r="C65" s="5" t="s">
        <v>900</v>
      </c>
    </row>
    <row r="66" spans="1:3" x14ac:dyDescent="0.2">
      <c r="A66" t="s">
        <v>998</v>
      </c>
      <c r="B66" s="18">
        <f>B43</f>
        <v>1245555.5095677129</v>
      </c>
      <c r="C66" t="s">
        <v>999</v>
      </c>
    </row>
    <row r="67" spans="1:3" x14ac:dyDescent="0.2">
      <c r="A67" t="s">
        <v>1000</v>
      </c>
      <c r="B67" s="18">
        <f>B44</f>
        <v>4195111.2668596199</v>
      </c>
      <c r="C67" t="s">
        <v>1001</v>
      </c>
    </row>
    <row r="68" spans="1:3" x14ac:dyDescent="0.2">
      <c r="A68" s="5" t="s">
        <v>1002</v>
      </c>
      <c r="B68" s="20">
        <f>B45</f>
        <v>2720333.3882136662</v>
      </c>
    </row>
    <row r="69" spans="1:3" x14ac:dyDescent="0.2">
      <c r="A69" t="s">
        <v>1003</v>
      </c>
      <c r="B69" s="18">
        <f>E62</f>
        <v>4604762.91488754</v>
      </c>
      <c r="C69" t="s">
        <v>1004</v>
      </c>
    </row>
    <row r="70" spans="1:3" x14ac:dyDescent="0.2">
      <c r="A70" s="5" t="s">
        <v>1005</v>
      </c>
      <c r="B70" s="74">
        <f>IF(B68=0,0,(B68-B69)/B68)</f>
        <v>-0.69272006690007326</v>
      </c>
    </row>
  </sheetData>
  <mergeCells count="2">
    <mergeCell ref="A1:K1"/>
    <mergeCell ref="A55:K5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1AB6-713A-054F-B863-A7DE8CA9E740}">
  <sheetPr>
    <tabColor rgb="FFC00000"/>
  </sheetPr>
  <dimension ref="A1:K57"/>
  <sheetViews>
    <sheetView workbookViewId="0">
      <selection sqref="A1:K1"/>
    </sheetView>
  </sheetViews>
  <sheetFormatPr baseColWidth="10" defaultRowHeight="16" x14ac:dyDescent="0.2"/>
  <cols>
    <col min="1" max="1" width="43.33203125" customWidth="1"/>
    <col min="2" max="11" width="15.83203125" customWidth="1"/>
  </cols>
  <sheetData>
    <row r="1" spans="1:11" ht="19" x14ac:dyDescent="0.25">
      <c r="A1" s="1" t="s">
        <v>521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">
      <c r="A3" s="48" t="s">
        <v>522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">
      <c r="A4" t="s">
        <v>790</v>
      </c>
      <c r="B4" s="72">
        <f>'10-Yr Projection'!F25</f>
        <v>652175.48733853921</v>
      </c>
    </row>
    <row r="5" spans="1:11" x14ac:dyDescent="0.2">
      <c r="A5" t="s">
        <v>523</v>
      </c>
      <c r="B5" s="64">
        <f>Assumptions!B112</f>
        <v>10</v>
      </c>
    </row>
    <row r="6" spans="1:11" x14ac:dyDescent="0.2">
      <c r="A6" t="s">
        <v>524</v>
      </c>
      <c r="B6" s="18">
        <f>B4*B5</f>
        <v>6521754.8733853921</v>
      </c>
    </row>
    <row r="7" spans="1:11" x14ac:dyDescent="0.2">
      <c r="A7" t="s">
        <v>525</v>
      </c>
      <c r="B7" s="18">
        <f>B6*Assumptions!B121</f>
        <v>195652.64620156176</v>
      </c>
    </row>
    <row r="8" spans="1:11" x14ac:dyDescent="0.2">
      <c r="A8" s="35" t="s">
        <v>526</v>
      </c>
      <c r="B8" s="36">
        <f>B6+B7</f>
        <v>6717407.5195869543</v>
      </c>
    </row>
    <row r="10" spans="1:11" x14ac:dyDescent="0.2">
      <c r="A10" t="s">
        <v>527</v>
      </c>
    </row>
    <row r="11" spans="1:11" x14ac:dyDescent="0.2">
      <c r="A11" t="s">
        <v>528</v>
      </c>
    </row>
    <row r="12" spans="1:11" x14ac:dyDescent="0.2">
      <c r="A12" t="s">
        <v>529</v>
      </c>
      <c r="B12" s="63">
        <f>Assumptions!B113</f>
        <v>0.5</v>
      </c>
    </row>
    <row r="13" spans="1:11" x14ac:dyDescent="0.2">
      <c r="A13" t="s">
        <v>530</v>
      </c>
      <c r="B13" s="18">
        <f>B8*B12</f>
        <v>3358703.7597934771</v>
      </c>
    </row>
    <row r="14" spans="1:11" x14ac:dyDescent="0.2">
      <c r="A14" t="s">
        <v>531</v>
      </c>
      <c r="B14" s="18">
        <f>B13*Assumptions!B116</f>
        <v>2351092.6318554338</v>
      </c>
    </row>
    <row r="15" spans="1:11" x14ac:dyDescent="0.2">
      <c r="A15" t="s">
        <v>532</v>
      </c>
      <c r="B15" s="18">
        <f>B13-B14</f>
        <v>1007611.1279380433</v>
      </c>
    </row>
    <row r="16" spans="1:11" x14ac:dyDescent="0.2">
      <c r="A16" t="s">
        <v>533</v>
      </c>
      <c r="B16" s="18">
        <f>B8-B13</f>
        <v>3358703.7597934771</v>
      </c>
    </row>
    <row r="17" spans="1:11" x14ac:dyDescent="0.2">
      <c r="A17" t="s">
        <v>534</v>
      </c>
      <c r="B17" s="18">
        <f>B16*Assumptions!B122</f>
        <v>503805.56396902155</v>
      </c>
    </row>
    <row r="18" spans="1:11" x14ac:dyDescent="0.2">
      <c r="A18" s="21"/>
      <c r="B18" s="22">
        <f>B16-B17</f>
        <v>2854898.1958244555</v>
      </c>
    </row>
    <row r="20" spans="1:11" x14ac:dyDescent="0.2">
      <c r="A20" s="48" t="s">
        <v>791</v>
      </c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">
      <c r="A21" s="35"/>
      <c r="B21" s="35" t="s">
        <v>535</v>
      </c>
      <c r="C21" s="35" t="s">
        <v>792</v>
      </c>
      <c r="D21" s="35" t="s">
        <v>793</v>
      </c>
      <c r="E21" s="35" t="s">
        <v>794</v>
      </c>
      <c r="F21" s="35" t="s">
        <v>795</v>
      </c>
      <c r="G21" s="35" t="s">
        <v>796</v>
      </c>
    </row>
    <row r="22" spans="1:11" x14ac:dyDescent="0.2">
      <c r="A22" t="s">
        <v>406</v>
      </c>
      <c r="C22" s="51">
        <f>'10-Yr Projection'!G25</f>
        <v>911168.83267372777</v>
      </c>
      <c r="D22" s="51">
        <f>'10-Yr Projection'!H25</f>
        <v>954215.76255930611</v>
      </c>
      <c r="E22" s="51">
        <f>'10-Yr Projection'!I25</f>
        <v>1235087.3075123539</v>
      </c>
      <c r="F22" s="51">
        <f>'10-Yr Projection'!J25</f>
        <v>1252885.2273745197</v>
      </c>
      <c r="G22" s="51">
        <f>'10-Yr Projection'!K25</f>
        <v>1609199.4408494718</v>
      </c>
    </row>
    <row r="23" spans="1:11" x14ac:dyDescent="0.2">
      <c r="A23" t="s">
        <v>536</v>
      </c>
      <c r="C23" s="51">
        <f>B32*Assumptions!B114</f>
        <v>188087.41054843471</v>
      </c>
      <c r="D23" s="51">
        <f>C32*Assumptions!B114</f>
        <v>170232.52780589947</v>
      </c>
      <c r="E23" s="51">
        <f>D32*Assumptions!B114</f>
        <v>150904.50778543</v>
      </c>
      <c r="F23" s="51">
        <f>E32*Assumptions!B114</f>
        <v>123422.16420596816</v>
      </c>
      <c r="G23" s="51">
        <f>F32*Assumptions!B114</f>
        <v>95029.243716673736</v>
      </c>
    </row>
    <row r="24" spans="1:11" x14ac:dyDescent="0.2">
      <c r="A24" t="s">
        <v>537</v>
      </c>
      <c r="C24" s="51">
        <f>B36*Assumptions!B115</f>
        <v>120913.33535256519</v>
      </c>
      <c r="D24" s="51">
        <f>C36*Assumptions!B115</f>
        <v>120913.33535256519</v>
      </c>
      <c r="E24" s="51">
        <f>D36*Assumptions!B115</f>
        <v>120913.33535256519</v>
      </c>
      <c r="F24" s="51">
        <f>E36*Assumptions!B115</f>
        <v>120913.33535256519</v>
      </c>
      <c r="G24" s="51">
        <f>F36*Assumptions!B115</f>
        <v>120913.33535256519</v>
      </c>
    </row>
    <row r="25" spans="1:11" x14ac:dyDescent="0.2">
      <c r="A25" t="s">
        <v>538</v>
      </c>
      <c r="C25" s="51">
        <f>C23+C24</f>
        <v>309000.74590099987</v>
      </c>
      <c r="D25" s="51">
        <f>D23+D24</f>
        <v>291145.86315846466</v>
      </c>
      <c r="E25" s="51">
        <f>E23+E24</f>
        <v>271817.84313799522</v>
      </c>
      <c r="F25" s="51">
        <f>F23+F24</f>
        <v>244335.49955853337</v>
      </c>
      <c r="G25" s="51">
        <f>G23+G24</f>
        <v>215942.57906923891</v>
      </c>
    </row>
    <row r="26" spans="1:11" x14ac:dyDescent="0.2">
      <c r="A26" s="5" t="s">
        <v>539</v>
      </c>
      <c r="B26" s="5"/>
      <c r="C26" s="52">
        <f>MAX(0,C22-C25-C22*0.25-C22*0.05)</f>
        <v>328817.43697060959</v>
      </c>
      <c r="D26" s="52">
        <f>MAX(0,D22-D25-D22*0.25-D22*0.05)</f>
        <v>376805.17063304962</v>
      </c>
      <c r="E26" s="52">
        <f>MAX(0,E22-E25-E22*0.25-E22*0.05)</f>
        <v>592743.27212065249</v>
      </c>
      <c r="F26" s="52">
        <f>MAX(0,F22-F25-F22*0.25-F22*0.05)</f>
        <v>632684.15960363043</v>
      </c>
      <c r="G26" s="52">
        <f>MAX(0,G22-G25-G22*0.25-G22*0.05)</f>
        <v>910497.02952539141</v>
      </c>
    </row>
    <row r="28" spans="1:11" x14ac:dyDescent="0.2">
      <c r="A28" t="s">
        <v>540</v>
      </c>
      <c r="B28">
        <f>B14</f>
        <v>2351092.6318554338</v>
      </c>
      <c r="C28" s="51">
        <f>B32</f>
        <v>2351092.6318554338</v>
      </c>
      <c r="D28" s="51">
        <f>C32</f>
        <v>2127906.5975737432</v>
      </c>
      <c r="E28" s="51">
        <f>D32</f>
        <v>1886306.3473178749</v>
      </c>
      <c r="F28" s="51">
        <f>E32</f>
        <v>1542777.052574602</v>
      </c>
      <c r="G28" s="51">
        <f>F32</f>
        <v>1187865.5464584217</v>
      </c>
    </row>
    <row r="29" spans="1:11" x14ac:dyDescent="0.2">
      <c r="A29" t="s">
        <v>541</v>
      </c>
      <c r="B29" s="18">
        <f>B14</f>
        <v>2351092.6318554338</v>
      </c>
      <c r="C29" s="51">
        <f>C28*0.05</f>
        <v>117554.63159277169</v>
      </c>
      <c r="D29" s="51">
        <f>D28*0.05</f>
        <v>106395.32987868716</v>
      </c>
      <c r="E29" s="51">
        <f>E28*0.05</f>
        <v>94315.317365893745</v>
      </c>
      <c r="F29" s="51">
        <f>F28*0.05</f>
        <v>77138.852628730107</v>
      </c>
      <c r="G29" s="51">
        <f>G28*0.05</f>
        <v>59393.277322921087</v>
      </c>
    </row>
    <row r="30" spans="1:11" x14ac:dyDescent="0.2">
      <c r="A30" t="s">
        <v>542</v>
      </c>
      <c r="C30" s="51">
        <f>MIN(C26-C29,C28-C29)*0.5</f>
        <v>105631.40268891896</v>
      </c>
      <c r="D30" s="51">
        <f>MIN(D26-D29,D28-D29)*0.5</f>
        <v>135204.92037718123</v>
      </c>
      <c r="E30" s="51">
        <f>MIN(E26-E29,E28-E29)*0.5</f>
        <v>249213.97737737937</v>
      </c>
      <c r="F30" s="51">
        <f>MIN(F26-F29,F28-F29)*0.5</f>
        <v>277772.65348745015</v>
      </c>
      <c r="G30" s="51">
        <f>MIN(G26-G29,G28-G29)*0.5</f>
        <v>425551.87610123516</v>
      </c>
    </row>
    <row r="31" spans="1:11" x14ac:dyDescent="0.2">
      <c r="A31" t="s">
        <v>543</v>
      </c>
    </row>
    <row r="32" spans="1:11" x14ac:dyDescent="0.2">
      <c r="B32">
        <f>B28</f>
        <v>2351092.6318554338</v>
      </c>
      <c r="C32" s="51">
        <f>C28-C29-MAX(0,C30)</f>
        <v>2127906.5975737432</v>
      </c>
      <c r="D32" s="51">
        <f>D28-D29-MAX(0,D30)</f>
        <v>1886306.3473178749</v>
      </c>
      <c r="E32" s="51">
        <f>E28-E29-MAX(0,E30)</f>
        <v>1542777.052574602</v>
      </c>
      <c r="F32" s="51">
        <f>F28-F29-MAX(0,F30)</f>
        <v>1187865.5464584217</v>
      </c>
      <c r="G32" s="51">
        <f>G28-G29-MAX(0,G30)</f>
        <v>702920.39303426561</v>
      </c>
    </row>
    <row r="33" spans="1:11" x14ac:dyDescent="0.2">
      <c r="A33" t="s">
        <v>544</v>
      </c>
    </row>
    <row r="34" spans="1:11" x14ac:dyDescent="0.2">
      <c r="A34" t="s">
        <v>545</v>
      </c>
      <c r="B34" s="18">
        <f>B15</f>
        <v>1007611.1279380433</v>
      </c>
      <c r="C34" s="51">
        <f>B36</f>
        <v>1007611.1279380433</v>
      </c>
      <c r="D34" s="51">
        <f>C36</f>
        <v>1007611.1279380433</v>
      </c>
      <c r="E34" s="51">
        <f>D36</f>
        <v>1007611.1279380433</v>
      </c>
      <c r="F34" s="51">
        <f>E36</f>
        <v>1007611.1279380433</v>
      </c>
      <c r="G34" s="51">
        <f>F36</f>
        <v>1007611.1279380433</v>
      </c>
    </row>
    <row r="35" spans="1:11" x14ac:dyDescent="0.2">
      <c r="A35" t="s">
        <v>546</v>
      </c>
      <c r="C35" s="51">
        <f>0</f>
        <v>0</v>
      </c>
      <c r="D35" s="51">
        <f>0</f>
        <v>0</v>
      </c>
      <c r="E35" s="51">
        <f>0</f>
        <v>0</v>
      </c>
      <c r="F35" s="51">
        <f>0</f>
        <v>0</v>
      </c>
      <c r="G35" s="51">
        <f>0</f>
        <v>0</v>
      </c>
    </row>
    <row r="36" spans="1:11" x14ac:dyDescent="0.2">
      <c r="B36">
        <f>B34</f>
        <v>1007611.1279380433</v>
      </c>
      <c r="C36" s="51">
        <f>C34+C35</f>
        <v>1007611.1279380433</v>
      </c>
      <c r="D36" s="51">
        <f>D34+D35</f>
        <v>1007611.1279380433</v>
      </c>
      <c r="E36" s="51">
        <f>E34+E35</f>
        <v>1007611.1279380433</v>
      </c>
      <c r="F36" s="51">
        <f>F34+F35</f>
        <v>1007611.1279380433</v>
      </c>
      <c r="G36" s="51">
        <f>G34+G35</f>
        <v>1007611.1279380433</v>
      </c>
    </row>
    <row r="37" spans="1:11" x14ac:dyDescent="0.2">
      <c r="A37" t="s">
        <v>547</v>
      </c>
    </row>
    <row r="38" spans="1:11" x14ac:dyDescent="0.2">
      <c r="A38" s="5" t="s">
        <v>548</v>
      </c>
      <c r="B38" s="20">
        <f>B32+B36</f>
        <v>3358703.7597934771</v>
      </c>
      <c r="C38" s="52">
        <f>C32+C36</f>
        <v>3135517.7255117865</v>
      </c>
      <c r="D38" s="52">
        <f>D32+D36</f>
        <v>2893917.4752559182</v>
      </c>
      <c r="E38" s="52">
        <f>E32+E36</f>
        <v>2550388.1805126453</v>
      </c>
      <c r="F38" s="52">
        <f>F32+F36</f>
        <v>2195476.6743964651</v>
      </c>
      <c r="G38" s="52">
        <f>G32+G36</f>
        <v>1710531.5209723089</v>
      </c>
    </row>
    <row r="39" spans="1:11" x14ac:dyDescent="0.2">
      <c r="C39" s="40">
        <f>IF(C22=0,0,C38/C22)</f>
        <v>3.4412038834898953</v>
      </c>
      <c r="D39" s="40">
        <f>IF(D22=0,0,D38/D22)</f>
        <v>3.0327705628066024</v>
      </c>
      <c r="E39" s="40">
        <f>IF(E22=0,0,E38/E22)</f>
        <v>2.0649456641648269</v>
      </c>
      <c r="F39" s="40">
        <f>IF(F22=0,0,F38/F22)</f>
        <v>1.7523366278307793</v>
      </c>
      <c r="G39" s="40">
        <f>IF(G22=0,0,G38/G22)</f>
        <v>1.0629704917554192</v>
      </c>
    </row>
    <row r="41" spans="1:11" x14ac:dyDescent="0.2">
      <c r="A41" s="48" t="s">
        <v>549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">
      <c r="A42" t="s">
        <v>797</v>
      </c>
      <c r="B42" s="18">
        <f>G22</f>
        <v>1609199.4408494718</v>
      </c>
    </row>
    <row r="43" spans="1:11" x14ac:dyDescent="0.2">
      <c r="A43" t="s">
        <v>505</v>
      </c>
      <c r="B43" s="64">
        <f>Assumptions!B111</f>
        <v>12</v>
      </c>
    </row>
    <row r="44" spans="1:11" x14ac:dyDescent="0.2">
      <c r="A44" t="s">
        <v>550</v>
      </c>
      <c r="B44" s="18">
        <f>B42*B43</f>
        <v>19310393.290193662</v>
      </c>
    </row>
    <row r="45" spans="1:11" x14ac:dyDescent="0.2">
      <c r="A45" t="s">
        <v>551</v>
      </c>
      <c r="B45" s="18">
        <f>G38</f>
        <v>1710531.5209723089</v>
      </c>
    </row>
    <row r="46" spans="1:11" x14ac:dyDescent="0.2">
      <c r="A46" t="s">
        <v>552</v>
      </c>
      <c r="B46" s="18">
        <f>B44-B45</f>
        <v>17599861.769221354</v>
      </c>
    </row>
    <row r="47" spans="1:11" x14ac:dyDescent="0.2">
      <c r="A47" t="s">
        <v>553</v>
      </c>
      <c r="B47" s="18">
        <f>B46*Assumptions!B122</f>
        <v>2639979.265383203</v>
      </c>
    </row>
    <row r="48" spans="1:11" x14ac:dyDescent="0.2">
      <c r="A48" t="s">
        <v>554</v>
      </c>
      <c r="B48" s="18">
        <f>B46-B47</f>
        <v>14959882.503838152</v>
      </c>
    </row>
    <row r="50" spans="1:2" x14ac:dyDescent="0.2">
      <c r="A50" t="s">
        <v>555</v>
      </c>
      <c r="B50" s="18">
        <f>B18</f>
        <v>2854898.1958244555</v>
      </c>
    </row>
    <row r="51" spans="1:2" x14ac:dyDescent="0.2">
      <c r="A51" t="s">
        <v>556</v>
      </c>
      <c r="B51" s="18">
        <f>B48</f>
        <v>14959882.503838152</v>
      </c>
    </row>
    <row r="53" spans="1:2" x14ac:dyDescent="0.2">
      <c r="A53" s="21" t="s">
        <v>557</v>
      </c>
      <c r="B53" s="73">
        <f>IF(B50=0,0,B51/B50)</f>
        <v>5.2400756446301031</v>
      </c>
    </row>
    <row r="54" spans="1:2" x14ac:dyDescent="0.2">
      <c r="A54" s="21" t="s">
        <v>558</v>
      </c>
      <c r="B54" s="75">
        <f>IF(B50=0,0,(B51/B50)^(1/5)-1)</f>
        <v>0.39273186223260637</v>
      </c>
    </row>
    <row r="56" spans="1:2" x14ac:dyDescent="0.2">
      <c r="A56" t="s">
        <v>559</v>
      </c>
      <c r="B56" s="18">
        <f>B13-G38</f>
        <v>1648172.2388211682</v>
      </c>
    </row>
    <row r="57" spans="1:2" x14ac:dyDescent="0.2">
      <c r="A57" t="s">
        <v>560</v>
      </c>
      <c r="B57" s="19">
        <f>IF(B13=0,0,B56/B13)</f>
        <v>0.49071676357742022</v>
      </c>
    </row>
  </sheetData>
  <mergeCells count="4">
    <mergeCell ref="A1:K1"/>
    <mergeCell ref="A3:K3"/>
    <mergeCell ref="A20:K20"/>
    <mergeCell ref="A41:K41"/>
  </mergeCells>
  <conditionalFormatting sqref="B38:G3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F2FA-52C2-194E-9238-B7BC17BE0214}">
  <sheetPr>
    <tabColor rgb="FF548235"/>
  </sheetPr>
  <dimension ref="A1:E38"/>
  <sheetViews>
    <sheetView workbookViewId="0">
      <selection sqref="A1:K1"/>
    </sheetView>
  </sheetViews>
  <sheetFormatPr baseColWidth="10" defaultRowHeight="16" x14ac:dyDescent="0.2"/>
  <cols>
    <col min="1" max="1" width="43.33203125" customWidth="1"/>
    <col min="2" max="5" width="21.6640625" customWidth="1"/>
  </cols>
  <sheetData>
    <row r="1" spans="1:5" ht="19" x14ac:dyDescent="0.25">
      <c r="A1" s="1" t="s">
        <v>561</v>
      </c>
      <c r="B1" s="12"/>
      <c r="C1" s="12"/>
      <c r="D1" s="12"/>
      <c r="E1" s="12"/>
    </row>
    <row r="2" spans="1:5" x14ac:dyDescent="0.2">
      <c r="A2" s="13" t="s">
        <v>562</v>
      </c>
      <c r="B2" s="13" t="s">
        <v>563</v>
      </c>
      <c r="C2" s="13" t="s">
        <v>564</v>
      </c>
      <c r="D2" s="13" t="s">
        <v>565</v>
      </c>
      <c r="E2" s="13" t="s">
        <v>566</v>
      </c>
    </row>
    <row r="3" spans="1:5" x14ac:dyDescent="0.2">
      <c r="A3" s="44" t="s">
        <v>567</v>
      </c>
      <c r="B3" s="16"/>
      <c r="C3" s="16"/>
      <c r="D3" s="16"/>
      <c r="E3" s="16"/>
    </row>
    <row r="4" spans="1:5" x14ac:dyDescent="0.2">
      <c r="A4" t="s">
        <v>568</v>
      </c>
      <c r="B4" s="77">
        <v>0.65</v>
      </c>
      <c r="C4" s="78">
        <v>0.8</v>
      </c>
      <c r="D4" s="79">
        <v>0.4</v>
      </c>
      <c r="E4" s="80">
        <v>0.2</v>
      </c>
    </row>
    <row r="5" spans="1:5" x14ac:dyDescent="0.2">
      <c r="A5" t="s">
        <v>275</v>
      </c>
      <c r="B5" s="8">
        <v>8</v>
      </c>
      <c r="C5" s="70">
        <v>12</v>
      </c>
      <c r="D5" s="81">
        <v>5</v>
      </c>
      <c r="E5" s="82">
        <v>3</v>
      </c>
    </row>
    <row r="6" spans="1:5" x14ac:dyDescent="0.2">
      <c r="A6" t="s">
        <v>49</v>
      </c>
      <c r="B6" s="84">
        <v>85</v>
      </c>
      <c r="C6" s="85">
        <v>95</v>
      </c>
      <c r="D6" s="86">
        <v>75</v>
      </c>
      <c r="E6" s="87">
        <v>65</v>
      </c>
    </row>
    <row r="7" spans="1:5" x14ac:dyDescent="0.2">
      <c r="A7" t="s">
        <v>54</v>
      </c>
      <c r="B7" s="77">
        <v>0.12</v>
      </c>
      <c r="C7" s="78">
        <v>0.15</v>
      </c>
      <c r="D7" s="79">
        <v>0.1</v>
      </c>
      <c r="E7" s="80">
        <v>0.08</v>
      </c>
    </row>
    <row r="8" spans="1:5" x14ac:dyDescent="0.2">
      <c r="A8" t="s">
        <v>569</v>
      </c>
      <c r="B8" s="8">
        <v>50</v>
      </c>
      <c r="C8" s="70">
        <v>75</v>
      </c>
      <c r="D8" s="81">
        <v>25</v>
      </c>
      <c r="E8" s="82">
        <v>10</v>
      </c>
    </row>
    <row r="9" spans="1:5" x14ac:dyDescent="0.2">
      <c r="A9" t="s">
        <v>570</v>
      </c>
      <c r="B9" s="77">
        <v>0.25</v>
      </c>
      <c r="C9" s="78">
        <v>0.35</v>
      </c>
      <c r="D9" s="79">
        <v>0.15</v>
      </c>
      <c r="E9" s="80">
        <v>0.08</v>
      </c>
    </row>
    <row r="10" spans="1:5" x14ac:dyDescent="0.2">
      <c r="A10" t="s">
        <v>571</v>
      </c>
      <c r="B10" s="8">
        <v>8</v>
      </c>
      <c r="C10" s="70">
        <v>12</v>
      </c>
      <c r="D10" s="81">
        <v>4</v>
      </c>
      <c r="E10" s="82">
        <v>2</v>
      </c>
    </row>
    <row r="11" spans="1:5" x14ac:dyDescent="0.2">
      <c r="A11" t="s">
        <v>572</v>
      </c>
      <c r="B11" s="77">
        <v>0.05</v>
      </c>
      <c r="C11" s="78">
        <v>0.08</v>
      </c>
      <c r="D11" s="79">
        <v>0.03</v>
      </c>
      <c r="E11" s="80">
        <v>0.01</v>
      </c>
    </row>
    <row r="12" spans="1:5" x14ac:dyDescent="0.2">
      <c r="A12" t="s">
        <v>573</v>
      </c>
      <c r="B12" s="8">
        <v>45</v>
      </c>
      <c r="C12" s="70">
        <v>70</v>
      </c>
      <c r="D12" s="81">
        <v>25</v>
      </c>
      <c r="E12" s="82">
        <v>10</v>
      </c>
    </row>
    <row r="13" spans="1:5" x14ac:dyDescent="0.2">
      <c r="A13" t="s">
        <v>132</v>
      </c>
      <c r="B13" s="84">
        <v>8000</v>
      </c>
      <c r="C13" s="85">
        <v>10000</v>
      </c>
      <c r="D13" s="86">
        <v>6000</v>
      </c>
      <c r="E13" s="87">
        <v>4000</v>
      </c>
    </row>
    <row r="14" spans="1:5" x14ac:dyDescent="0.2">
      <c r="A14" t="s">
        <v>574</v>
      </c>
      <c r="B14" s="77">
        <v>0.03</v>
      </c>
      <c r="C14" s="78">
        <v>0.05</v>
      </c>
      <c r="D14" s="79">
        <v>0.01</v>
      </c>
      <c r="E14" s="80">
        <v>-0.02</v>
      </c>
    </row>
    <row r="15" spans="1:5" x14ac:dyDescent="0.2">
      <c r="A15" t="s">
        <v>575</v>
      </c>
      <c r="B15" s="77">
        <v>0.05</v>
      </c>
      <c r="C15" s="78">
        <v>0.04</v>
      </c>
      <c r="D15" s="79">
        <v>7.0000000000000007E-2</v>
      </c>
      <c r="E15" s="80">
        <v>0.1</v>
      </c>
    </row>
    <row r="16" spans="1:5" x14ac:dyDescent="0.2">
      <c r="A16" t="s">
        <v>576</v>
      </c>
      <c r="B16" s="77">
        <v>0.03</v>
      </c>
      <c r="C16" s="78">
        <v>0.03</v>
      </c>
      <c r="D16" s="79">
        <v>0.04</v>
      </c>
      <c r="E16" s="80">
        <v>0.05</v>
      </c>
    </row>
    <row r="17" spans="1:5" x14ac:dyDescent="0.2">
      <c r="A17" t="s">
        <v>577</v>
      </c>
      <c r="B17" s="77">
        <v>0.25</v>
      </c>
      <c r="C17" s="78">
        <v>0.4</v>
      </c>
      <c r="D17" s="79">
        <v>0.15</v>
      </c>
      <c r="E17" s="80">
        <v>0.05</v>
      </c>
    </row>
    <row r="18" spans="1:5" x14ac:dyDescent="0.2">
      <c r="A18" t="s">
        <v>578</v>
      </c>
      <c r="B18" s="77">
        <v>0.2</v>
      </c>
      <c r="C18" s="78">
        <v>0.35</v>
      </c>
      <c r="D18" s="79">
        <v>0.1</v>
      </c>
      <c r="E18" s="80">
        <v>0.05</v>
      </c>
    </row>
    <row r="20" spans="1:5" x14ac:dyDescent="0.2">
      <c r="A20" s="44" t="s">
        <v>579</v>
      </c>
      <c r="B20" s="16"/>
      <c r="C20" s="16"/>
      <c r="D20" s="16"/>
      <c r="E20" s="16"/>
    </row>
    <row r="21" spans="1:5" x14ac:dyDescent="0.2">
      <c r="A21" s="5" t="s">
        <v>402</v>
      </c>
      <c r="B21" s="52">
        <f>'Revenue Build'!F78</f>
        <v>4131015.4205565937</v>
      </c>
      <c r="C21" s="52">
        <f>B21*1.4</f>
        <v>5783421.5887792306</v>
      </c>
      <c r="D21" s="52">
        <f>B21*0.6</f>
        <v>2478609.2523339563</v>
      </c>
      <c r="E21" s="52">
        <f>B21*0.35</f>
        <v>1445855.3971948077</v>
      </c>
    </row>
    <row r="22" spans="1:5" x14ac:dyDescent="0.2">
      <c r="A22" t="s">
        <v>580</v>
      </c>
      <c r="B22" s="51">
        <f>'Revenue Build'!F20</f>
        <v>1352494.438289074</v>
      </c>
      <c r="C22" s="51">
        <f>B22*1.5</f>
        <v>2028741.6574336109</v>
      </c>
      <c r="D22" s="51">
        <f>B22*0.55</f>
        <v>743871.94105899078</v>
      </c>
      <c r="E22" s="51">
        <f>B22*0.3</f>
        <v>405748.33148672216</v>
      </c>
    </row>
    <row r="23" spans="1:5" x14ac:dyDescent="0.2">
      <c r="A23" t="s">
        <v>581</v>
      </c>
      <c r="B23" s="51">
        <f>'Revenue Build'!F38</f>
        <v>205510.49113375999</v>
      </c>
      <c r="C23" s="51">
        <f>B23*1.6</f>
        <v>328816.78581401601</v>
      </c>
      <c r="D23" s="51">
        <f>B23*0.5</f>
        <v>102755.24556688</v>
      </c>
      <c r="E23" s="51">
        <f>B23*0.2</f>
        <v>41102.098226752001</v>
      </c>
    </row>
    <row r="24" spans="1:5" x14ac:dyDescent="0.2">
      <c r="A24" t="s">
        <v>582</v>
      </c>
      <c r="B24" s="51">
        <f>'Revenue Build'!F56</f>
        <v>525510.49113375996</v>
      </c>
      <c r="C24" s="51">
        <f>B24*1.5</f>
        <v>788265.73670063994</v>
      </c>
      <c r="D24" s="51">
        <f>B24*0.5</f>
        <v>262755.24556687998</v>
      </c>
      <c r="E24" s="51">
        <f>B24*0.25</f>
        <v>131377.62278343999</v>
      </c>
    </row>
    <row r="25" spans="1:5" x14ac:dyDescent="0.2">
      <c r="A25" t="s">
        <v>583</v>
      </c>
      <c r="B25" s="51">
        <f>'Revenue Build'!F71</f>
        <v>2047500</v>
      </c>
      <c r="C25" s="51">
        <f>B25*1.5</f>
        <v>3071250</v>
      </c>
      <c r="D25" s="51">
        <f>B25*0.55</f>
        <v>1126125</v>
      </c>
      <c r="E25" s="51">
        <f>B25*0.3</f>
        <v>614250</v>
      </c>
    </row>
    <row r="26" spans="1:5" x14ac:dyDescent="0.2">
      <c r="A26" t="s">
        <v>389</v>
      </c>
      <c r="B26" s="51">
        <f>'Margin Analysis'!F43</f>
        <v>2264430.0268385392</v>
      </c>
      <c r="C26" s="51">
        <f>C21*0.72</f>
        <v>4164063.543921046</v>
      </c>
      <c r="D26" s="51">
        <f>D21*0.58</f>
        <v>1437593.3663536946</v>
      </c>
      <c r="E26" s="51">
        <f>E21*0.45</f>
        <v>650634.92873766343</v>
      </c>
    </row>
    <row r="27" spans="1:5" x14ac:dyDescent="0.2">
      <c r="A27" t="s">
        <v>390</v>
      </c>
      <c r="B27" s="19">
        <f>'Margin Analysis'!F44</f>
        <v>0.54815337061449176</v>
      </c>
      <c r="C27" s="19">
        <f>IF(C21=0,0,C26/C21)</f>
        <v>0.72</v>
      </c>
      <c r="D27" s="19">
        <f>IF(D21=0,0,D26/D21)</f>
        <v>0.57999999999999996</v>
      </c>
      <c r="E27" s="19">
        <f>IF(E21=0,0,E26/E21)</f>
        <v>0.45</v>
      </c>
    </row>
    <row r="28" spans="1:5" x14ac:dyDescent="0.2">
      <c r="A28" s="21" t="s">
        <v>406</v>
      </c>
      <c r="B28" s="55">
        <f>'Margin Analysis'!F47</f>
        <v>652175.48733853921</v>
      </c>
      <c r="C28" s="55">
        <f>C21*0.28</f>
        <v>1619358.0448581846</v>
      </c>
      <c r="D28" s="55">
        <f>D21*0.05</f>
        <v>123930.46261669783</v>
      </c>
      <c r="E28" s="55">
        <f>E21*-0.1</f>
        <v>-144585.53971948076</v>
      </c>
    </row>
    <row r="29" spans="1:5" x14ac:dyDescent="0.2">
      <c r="A29" t="s">
        <v>432</v>
      </c>
      <c r="B29" s="19">
        <f>'Margin Analysis'!F48</f>
        <v>0.1578729249213667</v>
      </c>
      <c r="C29" s="19">
        <f>IF(C21=0,0,C28/C21)</f>
        <v>0.28000000000000003</v>
      </c>
      <c r="D29" s="19">
        <f>IF(D21=0,0,D28/D21)</f>
        <v>0.05</v>
      </c>
      <c r="E29" s="19">
        <f>IF(E21=0,0,E28/E21)</f>
        <v>-9.9999999999999992E-2</v>
      </c>
    </row>
    <row r="30" spans="1:5" x14ac:dyDescent="0.2">
      <c r="A30" t="s">
        <v>584</v>
      </c>
      <c r="B30" s="51">
        <f>'Margin Analysis'!F59</f>
        <v>213251.08052513297</v>
      </c>
      <c r="C30" s="51">
        <f>C28*0.65</f>
        <v>1052582.7291578201</v>
      </c>
      <c r="D30" s="51">
        <f>D28*0.3</f>
        <v>37179.138785009345</v>
      </c>
      <c r="E30" s="51">
        <f>E28*0.5</f>
        <v>-72292.76985974038</v>
      </c>
    </row>
    <row r="31" spans="1:5" x14ac:dyDescent="0.2">
      <c r="A31" t="s">
        <v>445</v>
      </c>
      <c r="B31" s="19">
        <f>'Margin Analysis'!F60</f>
        <v>5.1621952187339094E-2</v>
      </c>
      <c r="C31" s="19">
        <f>IF(C21=0,0,C30/C21)</f>
        <v>0.18200000000000002</v>
      </c>
      <c r="D31" s="19">
        <f>IF(D21=0,0,D30/D21)</f>
        <v>1.4999999999999999E-2</v>
      </c>
      <c r="E31" s="19">
        <f>IF(E21=0,0,E30/E21)</f>
        <v>-4.9999999999999996E-2</v>
      </c>
    </row>
    <row r="33" spans="1:5" x14ac:dyDescent="0.2">
      <c r="A33" s="44" t="s">
        <v>585</v>
      </c>
      <c r="B33" s="16"/>
      <c r="C33" s="16"/>
      <c r="D33" s="16"/>
      <c r="E33" s="16"/>
    </row>
    <row r="34" spans="1:5" x14ac:dyDescent="0.2">
      <c r="A34" t="s">
        <v>586</v>
      </c>
      <c r="B34" s="51">
        <f>B28</f>
        <v>652175.48733853921</v>
      </c>
      <c r="C34" s="51">
        <f>C28</f>
        <v>1619358.0448581846</v>
      </c>
      <c r="D34" s="51">
        <f>D28</f>
        <v>123930.46261669783</v>
      </c>
      <c r="E34" s="51">
        <f>E28</f>
        <v>-144585.53971948076</v>
      </c>
    </row>
    <row r="35" spans="1:5" x14ac:dyDescent="0.2">
      <c r="A35" s="21" t="s">
        <v>587</v>
      </c>
      <c r="B35" s="55">
        <f>B34*12</f>
        <v>7826105.8480624706</v>
      </c>
      <c r="C35" s="55">
        <f>C34*14</f>
        <v>22671012.628014587</v>
      </c>
      <c r="D35" s="55">
        <f>D34*8</f>
        <v>991443.70093358262</v>
      </c>
      <c r="E35" s="55">
        <f>IF(E34&lt;0,0,E34*6)</f>
        <v>0</v>
      </c>
    </row>
    <row r="36" spans="1:5" x14ac:dyDescent="0.2">
      <c r="A36" t="s">
        <v>588</v>
      </c>
      <c r="B36" s="51">
        <f>'DCF Valuation'!B45</f>
        <v>2720333.3882136662</v>
      </c>
      <c r="C36" s="51">
        <f>B36*1.6</f>
        <v>4352533.4211418657</v>
      </c>
      <c r="D36" s="51">
        <f>B36*0.35</f>
        <v>952116.68587478308</v>
      </c>
      <c r="E36" s="51">
        <f>B36*0.1</f>
        <v>272033.3388213666</v>
      </c>
    </row>
    <row r="37" spans="1:5" x14ac:dyDescent="0.2">
      <c r="A37" t="s">
        <v>589</v>
      </c>
      <c r="B37" s="10">
        <v>0.28000000000000003</v>
      </c>
      <c r="C37" s="63">
        <v>0.42</v>
      </c>
      <c r="D37" s="88">
        <v>0.05</v>
      </c>
      <c r="E37" s="89">
        <v>-0.15</v>
      </c>
    </row>
    <row r="38" spans="1:5" x14ac:dyDescent="0.2">
      <c r="A38" t="s">
        <v>590</v>
      </c>
      <c r="B38" s="90">
        <v>3.2</v>
      </c>
      <c r="C38" s="64">
        <v>5.0999999999999996</v>
      </c>
      <c r="D38" s="91">
        <v>1.2</v>
      </c>
      <c r="E38" s="92">
        <v>0.5</v>
      </c>
    </row>
  </sheetData>
  <mergeCells count="4">
    <mergeCell ref="A1:E1"/>
    <mergeCell ref="A3:E3"/>
    <mergeCell ref="A20:E20"/>
    <mergeCell ref="A33:E3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A0D4-42E3-8D4F-8EF0-A0EE64DF8BE6}">
  <sheetPr>
    <tabColor rgb="FFBF8F00"/>
  </sheetPr>
  <dimension ref="A1:H84"/>
  <sheetViews>
    <sheetView workbookViewId="0">
      <selection sqref="A1:K1"/>
    </sheetView>
  </sheetViews>
  <sheetFormatPr baseColWidth="10" defaultRowHeight="16" x14ac:dyDescent="0.2"/>
  <cols>
    <col min="1" max="1" width="23.33203125" customWidth="1"/>
    <col min="2" max="14" width="14.1640625" customWidth="1"/>
  </cols>
  <sheetData>
    <row r="1" spans="1:8" ht="19" x14ac:dyDescent="0.25">
      <c r="A1" s="1" t="s">
        <v>591</v>
      </c>
      <c r="B1" s="12"/>
      <c r="C1" s="12"/>
      <c r="D1" s="12"/>
      <c r="E1" s="12"/>
      <c r="F1" s="12"/>
      <c r="G1" s="12"/>
      <c r="H1" s="12"/>
    </row>
    <row r="3" spans="1:8" x14ac:dyDescent="0.2">
      <c r="A3" s="93" t="s">
        <v>592</v>
      </c>
      <c r="B3" s="94"/>
      <c r="C3" s="94"/>
      <c r="D3" s="94"/>
      <c r="E3" s="94"/>
      <c r="F3" s="94"/>
      <c r="G3" s="94"/>
      <c r="H3" s="94"/>
    </row>
    <row r="4" spans="1:8" x14ac:dyDescent="0.2">
      <c r="A4" s="101" t="s">
        <v>593</v>
      </c>
      <c r="B4" s="100">
        <v>0.01</v>
      </c>
      <c r="C4" s="100">
        <v>0.02</v>
      </c>
      <c r="D4" s="100">
        <v>2.5000000000000001E-2</v>
      </c>
      <c r="E4" s="100">
        <v>0.03</v>
      </c>
      <c r="F4" s="100">
        <v>3.5000000000000003E-2</v>
      </c>
      <c r="G4" s="100">
        <v>0.04</v>
      </c>
      <c r="H4" s="100">
        <v>0.05</v>
      </c>
    </row>
    <row r="5" spans="1:8" x14ac:dyDescent="0.2">
      <c r="A5" s="100">
        <v>0.1</v>
      </c>
      <c r="B5" s="97">
        <f>'DCF Valuation'!B25+('DCF Valuation'!K18*(1+0.01)/(0.1-0.01))/(1+0.1)^10</f>
        <v>3140846.9768656469</v>
      </c>
      <c r="C5" s="97">
        <f>'DCF Valuation'!B25+('DCF Valuation'!K18*(1+0.02)/(0.1-0.02))/(1+0.1)^10</f>
        <v>3647142.3432758218</v>
      </c>
      <c r="D5" s="97">
        <f>'DCF Valuation'!B25+('DCF Valuation'!K18*(1+0.025)/(0.1-0.025))/(1+0.1)^10</f>
        <v>3950919.563121926</v>
      </c>
      <c r="E5" s="97">
        <f>'DCF Valuation'!B25+('DCF Valuation'!K18*(1+0.03)/(0.1-0.03))/(1+0.1)^10</f>
        <v>4298093.5286603337</v>
      </c>
      <c r="F5" s="97">
        <f>'DCF Valuation'!B25+('DCF Valuation'!K18*(1+0.035)/(0.1-0.035))/(1+0.1)^10</f>
        <v>4698678.8735123398</v>
      </c>
      <c r="G5" s="97">
        <f>'DCF Valuation'!B25+('DCF Valuation'!K18*(1+0.04)/(0.1-0.04))/(1+0.1)^10</f>
        <v>5166028.4425063478</v>
      </c>
      <c r="H5" s="97">
        <f>'DCF Valuation'!B25+('DCF Valuation'!K18*(1+0.05)/(0.1-0.05))/(1+0.1)^10</f>
        <v>6381137.3218907705</v>
      </c>
    </row>
    <row r="6" spans="1:8" x14ac:dyDescent="0.2">
      <c r="A6" s="100">
        <v>0.12</v>
      </c>
      <c r="B6" s="97">
        <f>'DCF Valuation'!B25+('DCF Valuation'!K18*(1+0.01)/(0.12-0.01))/(1+0.12)^10</f>
        <v>1962961.7033187379</v>
      </c>
      <c r="C6" s="97">
        <f>'DCF Valuation'!B25+('DCF Valuation'!K18*(1+0.02)/(0.12-0.02))/(1+0.12)^10</f>
        <v>2244745.3118566084</v>
      </c>
      <c r="D6" s="97">
        <f>'DCF Valuation'!B25+('DCF Valuation'!K18*(1+0.025)/(0.12-0.025))/(1+0.12)^10</f>
        <v>2407883.1904837955</v>
      </c>
      <c r="E6" s="97">
        <f>'DCF Valuation'!B25+('DCF Valuation'!K18*(1+0.03)/(0.12-0.03))/(1+0.12)^10</f>
        <v>2589147.5000695596</v>
      </c>
      <c r="F6" s="97">
        <f>'DCF Valuation'!B25+('DCF Valuation'!K18*(1+0.035)/(0.12-0.035))/(1+0.12)^10</f>
        <v>2791737.0225477661</v>
      </c>
      <c r="G6" s="97">
        <f>'DCF Valuation'!B25+('DCF Valuation'!K18*(1+0.04)/(0.12-0.04))/(1+0.12)^10</f>
        <v>3019650.23533575</v>
      </c>
      <c r="H6" s="97">
        <f>'DCF Valuation'!B25+('DCF Valuation'!K18*(1+0.05)/(0.12-0.05))/(1+0.12)^10</f>
        <v>3573153.7521065651</v>
      </c>
    </row>
    <row r="7" spans="1:8" x14ac:dyDescent="0.2">
      <c r="A7" s="100">
        <v>0.13</v>
      </c>
      <c r="B7" s="97">
        <f>'DCF Valuation'!B25+('DCF Valuation'!K18*(1+0.01)/(0.13-0.01))/(1+0.13)^10</f>
        <v>1553087.6866685459</v>
      </c>
      <c r="C7" s="97">
        <f>'DCF Valuation'!B25+('DCF Valuation'!K18*(1+0.02)/(0.13-0.02))/(1+0.13)^10</f>
        <v>1769853.4518069532</v>
      </c>
      <c r="D7" s="97">
        <f>'DCF Valuation'!B25+('DCF Valuation'!K18*(1+0.025)/(0.13-0.025))/(1+0.13)^10</f>
        <v>1893719.6033146135</v>
      </c>
      <c r="E7" s="97">
        <f>'DCF Valuation'!B25+('DCF Valuation'!K18*(1+0.03)/(0.13-0.03))/(1+0.13)^10</f>
        <v>2029972.3699730411</v>
      </c>
      <c r="F7" s="97">
        <f>'DCF Valuation'!B25+('DCF Valuation'!K18*(1+0.035)/(0.13-0.035))/(1+0.13)^10</f>
        <v>2180567.5331218289</v>
      </c>
      <c r="G7" s="97">
        <f>'DCF Valuation'!B25+('DCF Valuation'!K18*(1+0.04)/(0.13-0.04))/(1+0.13)^10</f>
        <v>2347895.4921760382</v>
      </c>
      <c r="H7" s="97">
        <f>'DCF Valuation'!B25+('DCF Valuation'!K18*(1+0.05)/(0.13-0.05))/(1+0.13)^10</f>
        <v>2745299.3949297839</v>
      </c>
    </row>
    <row r="8" spans="1:8" x14ac:dyDescent="0.2">
      <c r="A8" s="100">
        <v>0.15</v>
      </c>
      <c r="B8" s="97">
        <f>'DCF Valuation'!B25+('DCF Valuation'!K18*(1+0.01)/(0.15-0.01))/(1+0.15)^10</f>
        <v>954677.58262893325</v>
      </c>
      <c r="C8" s="97">
        <f>'DCF Valuation'!B25+('DCF Valuation'!K18*(1+0.02)/(0.15-0.02))/(1+0.15)^10</f>
        <v>1088928.9335237546</v>
      </c>
      <c r="D8" s="97">
        <f>'DCF Valuation'!B25+('DCF Valuation'!K18*(1+0.025)/(0.15-0.025))/(1+0.15)^10</f>
        <v>1164109.6900248544</v>
      </c>
      <c r="E8" s="98">
        <f>'DCF Valuation'!B25+('DCF Valuation'!K18*(1+0.03)/(0.15-0.03))/(1+0.15)^10</f>
        <v>1245555.5095677129</v>
      </c>
      <c r="F8" s="97">
        <f>'DCF Valuation'!B25+('DCF Valuation'!K18*(1+0.035)/(0.15-0.035))/(1+0.15)^10</f>
        <v>1334083.5742882111</v>
      </c>
      <c r="G8" s="97">
        <f>'DCF Valuation'!B25+('DCF Valuation'!K18*(1+0.04)/(0.15-0.04))/(1+0.15)^10</f>
        <v>1430659.6448923913</v>
      </c>
      <c r="H8" s="97">
        <f>'DCF Valuation'!B25+('DCF Valuation'!K18*(1+0.05)/(0.15-0.05))/(1+0.15)^10</f>
        <v>1652784.6072820048</v>
      </c>
    </row>
    <row r="9" spans="1:8" x14ac:dyDescent="0.2">
      <c r="A9" s="100">
        <v>0.17</v>
      </c>
      <c r="B9" s="97">
        <f>'DCF Valuation'!B25+('DCF Valuation'!K18*(1+0.01)/(0.17-0.01))/(1+0.17)^10</f>
        <v>550667.98960340652</v>
      </c>
      <c r="C9" s="97">
        <f>'DCF Valuation'!B25+('DCF Valuation'!K18*(1+0.02)/(0.17-0.02))/(1+0.17)^10</f>
        <v>637841.91815358517</v>
      </c>
      <c r="D9" s="97">
        <f>'DCF Valuation'!B25+('DCF Valuation'!K18*(1+0.025)/(0.17-0.025))/(1+0.17)^10</f>
        <v>685937.8787329942</v>
      </c>
      <c r="E9" s="97">
        <f>'DCF Valuation'!B25+('DCF Valuation'!K18*(1+0.03)/(0.17-0.03))/(1+0.17)^10</f>
        <v>737469.26506807562</v>
      </c>
      <c r="F9" s="97">
        <f>'DCF Valuation'!B25+('DCF Valuation'!K18*(1+0.035)/(0.17-0.035))/(1+0.17)^10</f>
        <v>792817.79113168106</v>
      </c>
      <c r="G9" s="97">
        <f>'DCF Valuation'!B25+('DCF Valuation'!K18*(1+0.04)/(0.17-0.04))/(1+0.17)^10</f>
        <v>852423.89612325653</v>
      </c>
      <c r="H9" s="97">
        <f>'DCF Valuation'!B25+('DCF Valuation'!K18*(1+0.05)/(0.17-0.05))/(1+0.17)^10</f>
        <v>986537.63235430093</v>
      </c>
    </row>
    <row r="10" spans="1:8" x14ac:dyDescent="0.2">
      <c r="A10" s="100">
        <v>0.18</v>
      </c>
      <c r="B10" s="97">
        <f>'DCF Valuation'!B25+('DCF Valuation'!K18*(1+0.01)/(0.18-0.01))/(1+0.18)^10</f>
        <v>397592.40634856233</v>
      </c>
      <c r="C10" s="97">
        <f>'DCF Valuation'!B25+('DCF Valuation'!K18*(1+0.02)/(0.18-0.02))/(1+0.18)^10</f>
        <v>468838.92462995299</v>
      </c>
      <c r="D10" s="97">
        <f>'DCF Valuation'!B25+('DCF Valuation'!K18*(1+0.025)/(0.18-0.025))/(1+0.18)^10</f>
        <v>507909.59594555432</v>
      </c>
      <c r="E10" s="97">
        <f>'DCF Valuation'!B25+('DCF Valuation'!K18*(1+0.03)/(0.18-0.03))/(1+0.18)^10</f>
        <v>549584.978682196</v>
      </c>
      <c r="F10" s="97">
        <f>'DCF Valuation'!B25+('DCF Valuation'!K18*(1+0.035)/(0.18-0.035))/(1+0.18)^10</f>
        <v>594134.52574550221</v>
      </c>
      <c r="G10" s="97">
        <f>'DCF Valuation'!B25+('DCF Valuation'!K18*(1+0.04)/(0.18-0.04))/(1+0.18)^10</f>
        <v>641866.18331333064</v>
      </c>
      <c r="H10" s="97">
        <f>'DCF Valuation'!B25+('DCF Valuation'!K18*(1+0.05)/(0.18-0.05))/(1+0.18)^10</f>
        <v>748344.49634925509</v>
      </c>
    </row>
    <row r="11" spans="1:8" x14ac:dyDescent="0.2">
      <c r="A11" s="100">
        <v>0.2</v>
      </c>
      <c r="B11" s="97">
        <f>'DCF Valuation'!B25+('DCF Valuation'!K18*(1+0.01)/(0.2-0.01))/(1+0.2)^10</f>
        <v>159825.66165798134</v>
      </c>
      <c r="C11" s="97">
        <f>'DCF Valuation'!B25+('DCF Valuation'!K18*(1+0.02)/(0.2-0.02))/(1+0.2)^10</f>
        <v>208535.11943570618</v>
      </c>
      <c r="D11" s="97">
        <f>'DCF Valuation'!B25+('DCF Valuation'!K18*(1+0.025)/(0.2-0.025))/(1+0.2)^10</f>
        <v>234977.39651504252</v>
      </c>
      <c r="E11" s="97">
        <f>'DCF Valuation'!B25+('DCF Valuation'!K18*(1+0.03)/(0.2-0.03))/(1+0.2)^10</f>
        <v>262975.10165786941</v>
      </c>
      <c r="F11" s="97">
        <f>'DCF Valuation'!B25+('DCF Valuation'!K18*(1+0.035)/(0.2-0.035))/(1+0.2)^10</f>
        <v>292669.63741541281</v>
      </c>
      <c r="G11" s="97">
        <f>'DCF Valuation'!B25+('DCF Valuation'!K18*(1+0.04)/(0.2-0.04))/(1+0.2)^10</f>
        <v>324220.08165780292</v>
      </c>
      <c r="H11" s="97">
        <f>'DCF Valuation'!B25+('DCF Valuation'!K18*(1+0.05)/(0.2-0.05))/(1+0.2)^10</f>
        <v>393631.05899106071</v>
      </c>
    </row>
    <row r="14" spans="1:8" x14ac:dyDescent="0.2">
      <c r="A14" s="103" t="s">
        <v>594</v>
      </c>
      <c r="B14" s="102"/>
      <c r="C14" s="102"/>
      <c r="D14" s="102"/>
      <c r="E14" s="102"/>
      <c r="F14" s="102"/>
      <c r="G14" s="102"/>
      <c r="H14" s="102"/>
    </row>
    <row r="15" spans="1:8" x14ac:dyDescent="0.2">
      <c r="A15" s="96" t="s">
        <v>595</v>
      </c>
      <c r="B15" s="104" t="s">
        <v>596</v>
      </c>
      <c r="C15" s="104" t="s">
        <v>597</v>
      </c>
      <c r="D15" s="104" t="s">
        <v>598</v>
      </c>
      <c r="E15" s="104" t="s">
        <v>599</v>
      </c>
      <c r="F15" s="104" t="s">
        <v>600</v>
      </c>
      <c r="G15" s="104" t="s">
        <v>601</v>
      </c>
      <c r="H15" s="105" t="s">
        <v>602</v>
      </c>
    </row>
    <row r="16" spans="1:8" x14ac:dyDescent="0.2">
      <c r="A16" s="99" t="s">
        <v>603</v>
      </c>
      <c r="B16" s="106">
        <f>IF('LBO Analysis'!B42=0,0,('LBO Analysis'!B42*8-'LBO Analysis'!G38)/('LBO Analysis'!B4*7*0.5*(1-Assumptions!B122)))</f>
        <v>5.7534980921135874</v>
      </c>
      <c r="C16" s="106">
        <f>IF('LBO Analysis'!B42=0,0,('LBO Analysis'!B42*10-'LBO Analysis'!G38)/('LBO Analysis'!B4*7*0.5*(1-Assumptions!B122)))</f>
        <v>7.4122767048542775</v>
      </c>
      <c r="D16" s="106">
        <f>IF('LBO Analysis'!B42=0,0,('LBO Analysis'!B42*11-'LBO Analysis'!G38)/('LBO Analysis'!B4*7*0.5*(1-Assumptions!B122)))</f>
        <v>8.2416660112246216</v>
      </c>
      <c r="E16" s="106">
        <f>IF('LBO Analysis'!B42=0,0,('LBO Analysis'!B42*12-'LBO Analysis'!G38)/('LBO Analysis'!B4*7*0.5*(1-Assumptions!B122)))</f>
        <v>9.0710553175949684</v>
      </c>
      <c r="F16" s="106">
        <f>IF('LBO Analysis'!B42=0,0,('LBO Analysis'!B42*13-'LBO Analysis'!G38)/('LBO Analysis'!B4*7*0.5*(1-Assumptions!B122)))</f>
        <v>9.9004446239653134</v>
      </c>
      <c r="G16" s="106">
        <f>IF('LBO Analysis'!B42=0,0,('LBO Analysis'!B42*14-'LBO Analysis'!G38)/('LBO Analysis'!B4*7*0.5*(1-Assumptions!B122)))</f>
        <v>10.729833930335658</v>
      </c>
      <c r="H16" s="107">
        <f>IF('LBO Analysis'!B42=0,0,('LBO Analysis'!B42*16-'LBO Analysis'!G38)/('LBO Analysis'!B4*7*0.5*(1-Assumptions!B122)))</f>
        <v>12.388612543076349</v>
      </c>
    </row>
    <row r="17" spans="1:8" x14ac:dyDescent="0.2">
      <c r="A17" s="99" t="s">
        <v>596</v>
      </c>
      <c r="B17" s="106">
        <f>IF('LBO Analysis'!B42=0,0,('LBO Analysis'!B42*8-'LBO Analysis'!G38)/('LBO Analysis'!B4*8*0.5*(1-Assumptions!B122)))</f>
        <v>5.0343108305993898</v>
      </c>
      <c r="C17" s="106">
        <f>IF('LBO Analysis'!B42=0,0,('LBO Analysis'!B42*10-'LBO Analysis'!G38)/('LBO Analysis'!B4*8*0.5*(1-Assumptions!B122)))</f>
        <v>6.4857421167474936</v>
      </c>
      <c r="D17" s="106">
        <f>IF('LBO Analysis'!B42=0,0,('LBO Analysis'!B42*11-'LBO Analysis'!G38)/('LBO Analysis'!B4*8*0.5*(1-Assumptions!B122)))</f>
        <v>7.2114577598215455</v>
      </c>
      <c r="E17" s="106">
        <f>IF('LBO Analysis'!B42=0,0,('LBO Analysis'!B42*12-'LBO Analysis'!G38)/('LBO Analysis'!B4*8*0.5*(1-Assumptions!B122)))</f>
        <v>7.9371734028955983</v>
      </c>
      <c r="F17" s="106">
        <f>IF('LBO Analysis'!B42=0,0,('LBO Analysis'!B42*13-'LBO Analysis'!G38)/('LBO Analysis'!B4*8*0.5*(1-Assumptions!B122)))</f>
        <v>8.6628890459696493</v>
      </c>
      <c r="G17" s="106">
        <f>IF('LBO Analysis'!B42=0,0,('LBO Analysis'!B42*14-'LBO Analysis'!G38)/('LBO Analysis'!B4*8*0.5*(1-Assumptions!B122)))</f>
        <v>9.3886046890437012</v>
      </c>
      <c r="H17" s="107">
        <f>IF('LBO Analysis'!B42=0,0,('LBO Analysis'!B42*16-'LBO Analysis'!G38)/('LBO Analysis'!B4*8*0.5*(1-Assumptions!B122)))</f>
        <v>10.840035975191805</v>
      </c>
    </row>
    <row r="18" spans="1:8" x14ac:dyDescent="0.2">
      <c r="A18" s="99" t="s">
        <v>604</v>
      </c>
      <c r="B18" s="106">
        <f>IF('LBO Analysis'!B42=0,0,('LBO Analysis'!B42*8-'LBO Analysis'!G38)/('LBO Analysis'!B4*9*0.5*(1-Assumptions!B122)))</f>
        <v>4.4749429605327897</v>
      </c>
      <c r="C18" s="106">
        <f>IF('LBO Analysis'!B42=0,0,('LBO Analysis'!B42*10-'LBO Analysis'!G38)/('LBO Analysis'!B4*9*0.5*(1-Assumptions!B122)))</f>
        <v>5.765104103775549</v>
      </c>
      <c r="D18" s="106">
        <f>IF('LBO Analysis'!B42=0,0,('LBO Analysis'!B42*11-'LBO Analysis'!G38)/('LBO Analysis'!B4*9*0.5*(1-Assumptions!B122)))</f>
        <v>6.4101846753969278</v>
      </c>
      <c r="E18" s="106">
        <f>IF('LBO Analysis'!B42=0,0,('LBO Analysis'!B42*12-'LBO Analysis'!G38)/('LBO Analysis'!B4*9*0.5*(1-Assumptions!B122)))</f>
        <v>7.0552652470183084</v>
      </c>
      <c r="F18" s="106">
        <f>IF('LBO Analysis'!B42=0,0,('LBO Analysis'!B42*13-'LBO Analysis'!G38)/('LBO Analysis'!B4*9*0.5*(1-Assumptions!B122)))</f>
        <v>7.700345818639688</v>
      </c>
      <c r="G18" s="106">
        <f>IF('LBO Analysis'!B42=0,0,('LBO Analysis'!B42*14-'LBO Analysis'!G38)/('LBO Analysis'!B4*9*0.5*(1-Assumptions!B122)))</f>
        <v>8.3454263902610677</v>
      </c>
      <c r="H18" s="107">
        <f>IF('LBO Analysis'!B42=0,0,('LBO Analysis'!B42*16-'LBO Analysis'!G38)/('LBO Analysis'!B4*9*0.5*(1-Assumptions!B122)))</f>
        <v>9.6355875335038252</v>
      </c>
    </row>
    <row r="19" spans="1:8" x14ac:dyDescent="0.2">
      <c r="A19" s="99" t="s">
        <v>597</v>
      </c>
      <c r="B19" s="106">
        <f>IF('LBO Analysis'!B42=0,0,('LBO Analysis'!B42*8-'LBO Analysis'!G38)/('LBO Analysis'!B4*10*0.5*(1-Assumptions!B122)))</f>
        <v>4.0274486644795111</v>
      </c>
      <c r="C19" s="106">
        <f>IF('LBO Analysis'!B42=0,0,('LBO Analysis'!B42*10-'LBO Analysis'!G38)/('LBO Analysis'!B4*10*0.5*(1-Assumptions!B122)))</f>
        <v>5.1885936933979941</v>
      </c>
      <c r="D19" s="106">
        <f>IF('LBO Analysis'!B42=0,0,('LBO Analysis'!B42*11-'LBO Analysis'!G38)/('LBO Analysis'!B4*10*0.5*(1-Assumptions!B122)))</f>
        <v>5.7691662078572357</v>
      </c>
      <c r="E19" s="108">
        <f>IF('LBO Analysis'!B42=0,0,('LBO Analysis'!B42*12-'LBO Analysis'!G38)/('LBO Analysis'!B4*10*0.5*(1-Assumptions!B122)))</f>
        <v>6.3497387223164781</v>
      </c>
      <c r="F19" s="106">
        <f>IF('LBO Analysis'!B42=0,0,('LBO Analysis'!B42*13-'LBO Analysis'!G38)/('LBO Analysis'!B4*10*0.5*(1-Assumptions!B122)))</f>
        <v>6.9303112367757196</v>
      </c>
      <c r="G19" s="106">
        <f>IF('LBO Analysis'!B42=0,0,('LBO Analysis'!B42*14-'LBO Analysis'!G38)/('LBO Analysis'!B4*10*0.5*(1-Assumptions!B122)))</f>
        <v>7.5108837512349602</v>
      </c>
      <c r="H19" s="107">
        <f>IF('LBO Analysis'!B42=0,0,('LBO Analysis'!B42*16-'LBO Analysis'!G38)/('LBO Analysis'!B4*10*0.5*(1-Assumptions!B122)))</f>
        <v>8.6720287801534433</v>
      </c>
    </row>
    <row r="20" spans="1:8" x14ac:dyDescent="0.2">
      <c r="A20" s="99" t="s">
        <v>598</v>
      </c>
      <c r="B20" s="106">
        <f>IF('LBO Analysis'!B42=0,0,('LBO Analysis'!B42*8-'LBO Analysis'!G38)/('LBO Analysis'!B4*11*0.5*(1-Assumptions!B122)))</f>
        <v>3.6613169677086468</v>
      </c>
      <c r="C20" s="106">
        <f>IF('LBO Analysis'!B42=0,0,('LBO Analysis'!B42*10-'LBO Analysis'!G38)/('LBO Analysis'!B4*11*0.5*(1-Assumptions!B122)))</f>
        <v>4.7169033576345401</v>
      </c>
      <c r="D20" s="106">
        <f>IF('LBO Analysis'!B42=0,0,('LBO Analysis'!B42*11-'LBO Analysis'!G38)/('LBO Analysis'!B4*11*0.5*(1-Assumptions!B122)))</f>
        <v>5.2446965525974871</v>
      </c>
      <c r="E20" s="106">
        <f>IF('LBO Analysis'!B42=0,0,('LBO Analysis'!B42*12-'LBO Analysis'!G38)/('LBO Analysis'!B4*11*0.5*(1-Assumptions!B122)))</f>
        <v>5.7724897475604342</v>
      </c>
      <c r="F20" s="106">
        <f>IF('LBO Analysis'!B42=0,0,('LBO Analysis'!B42*13-'LBO Analysis'!G38)/('LBO Analysis'!B4*11*0.5*(1-Assumptions!B122)))</f>
        <v>6.3002829425233813</v>
      </c>
      <c r="G20" s="106">
        <f>IF('LBO Analysis'!B42=0,0,('LBO Analysis'!B42*14-'LBO Analysis'!G38)/('LBO Analysis'!B4*11*0.5*(1-Assumptions!B122)))</f>
        <v>6.8280761374863284</v>
      </c>
      <c r="H20" s="107">
        <f>IF('LBO Analysis'!B42=0,0,('LBO Analysis'!B42*16-'LBO Analysis'!G38)/('LBO Analysis'!B4*11*0.5*(1-Assumptions!B122)))</f>
        <v>7.8836625274122216</v>
      </c>
    </row>
    <row r="21" spans="1:8" x14ac:dyDescent="0.2">
      <c r="A21" s="99" t="s">
        <v>599</v>
      </c>
      <c r="B21" s="106">
        <f>IF('LBO Analysis'!B42=0,0,('LBO Analysis'!B42*8-'LBO Analysis'!G38)/('LBO Analysis'!B4*12*0.5*(1-Assumptions!B122)))</f>
        <v>3.3562072203995927</v>
      </c>
      <c r="C21" s="106">
        <f>IF('LBO Analysis'!B42=0,0,('LBO Analysis'!B42*10-'LBO Analysis'!G38)/('LBO Analysis'!B4*12*0.5*(1-Assumptions!B122)))</f>
        <v>4.3238280778316618</v>
      </c>
      <c r="D21" s="106">
        <f>IF('LBO Analysis'!B42=0,0,('LBO Analysis'!B42*11-'LBO Analysis'!G38)/('LBO Analysis'!B4*12*0.5*(1-Assumptions!B122)))</f>
        <v>4.807638506547697</v>
      </c>
      <c r="E21" s="106">
        <f>IF('LBO Analysis'!B42=0,0,('LBO Analysis'!B42*12-'LBO Analysis'!G38)/('LBO Analysis'!B4*12*0.5*(1-Assumptions!B122)))</f>
        <v>5.2914489352637322</v>
      </c>
      <c r="F21" s="106">
        <f>IF('LBO Analysis'!B42=0,0,('LBO Analysis'!B42*13-'LBO Analysis'!G38)/('LBO Analysis'!B4*12*0.5*(1-Assumptions!B122)))</f>
        <v>5.7752593639797665</v>
      </c>
      <c r="G21" s="106">
        <f>IF('LBO Analysis'!B42=0,0,('LBO Analysis'!B42*14-'LBO Analysis'!G38)/('LBO Analysis'!B4*12*0.5*(1-Assumptions!B122)))</f>
        <v>6.2590697926958008</v>
      </c>
      <c r="H21" s="107">
        <f>IF('LBO Analysis'!B42=0,0,('LBO Analysis'!B42*16-'LBO Analysis'!G38)/('LBO Analysis'!B4*12*0.5*(1-Assumptions!B122)))</f>
        <v>7.2266906501278703</v>
      </c>
    </row>
    <row r="22" spans="1:8" x14ac:dyDescent="0.2">
      <c r="A22" s="109" t="s">
        <v>601</v>
      </c>
      <c r="B22" s="110">
        <f>IF('LBO Analysis'!B42=0,0,('LBO Analysis'!B42*8-'LBO Analysis'!G38)/('LBO Analysis'!B4*14*0.5*(1-Assumptions!B122)))</f>
        <v>2.8767490460567937</v>
      </c>
      <c r="C22" s="110">
        <f>IF('LBO Analysis'!B42=0,0,('LBO Analysis'!B42*10-'LBO Analysis'!G38)/('LBO Analysis'!B4*14*0.5*(1-Assumptions!B122)))</f>
        <v>3.7061383524271387</v>
      </c>
      <c r="D22" s="110">
        <f>IF('LBO Analysis'!B42=0,0,('LBO Analysis'!B42*11-'LBO Analysis'!G38)/('LBO Analysis'!B4*14*0.5*(1-Assumptions!B122)))</f>
        <v>4.1208330056123108</v>
      </c>
      <c r="E22" s="110">
        <f>IF('LBO Analysis'!B42=0,0,('LBO Analysis'!B42*12-'LBO Analysis'!G38)/('LBO Analysis'!B4*14*0.5*(1-Assumptions!B122)))</f>
        <v>4.5355276587974842</v>
      </c>
      <c r="F22" s="110">
        <f>IF('LBO Analysis'!B42=0,0,('LBO Analysis'!B42*13-'LBO Analysis'!G38)/('LBO Analysis'!B4*14*0.5*(1-Assumptions!B122)))</f>
        <v>4.9502223119826567</v>
      </c>
      <c r="G22" s="110">
        <f>IF('LBO Analysis'!B42=0,0,('LBO Analysis'!B42*14-'LBO Analysis'!G38)/('LBO Analysis'!B4*14*0.5*(1-Assumptions!B122)))</f>
        <v>5.3649169651678292</v>
      </c>
      <c r="H22" s="111">
        <f>IF('LBO Analysis'!B42=0,0,('LBO Analysis'!B42*16-'LBO Analysis'!G38)/('LBO Analysis'!B4*14*0.5*(1-Assumptions!B122)))</f>
        <v>6.1943062715381743</v>
      </c>
    </row>
    <row r="25" spans="1:8" x14ac:dyDescent="0.2">
      <c r="A25" s="113" t="s">
        <v>605</v>
      </c>
      <c r="B25" s="112"/>
      <c r="C25" s="112"/>
      <c r="D25" s="112"/>
      <c r="E25" s="112"/>
      <c r="F25" s="112"/>
      <c r="G25" s="112"/>
      <c r="H25" s="112"/>
    </row>
    <row r="26" spans="1:8" x14ac:dyDescent="0.2">
      <c r="A26" s="5" t="s">
        <v>606</v>
      </c>
      <c r="B26" s="114">
        <v>0.08</v>
      </c>
      <c r="C26" s="114">
        <v>0.1</v>
      </c>
      <c r="D26" s="114">
        <v>0.11</v>
      </c>
      <c r="E26" s="114">
        <v>0.12</v>
      </c>
      <c r="F26" s="114">
        <v>0.13</v>
      </c>
      <c r="G26" s="114">
        <v>0.15</v>
      </c>
      <c r="H26" s="114">
        <v>0.18</v>
      </c>
    </row>
    <row r="27" spans="1:8" x14ac:dyDescent="0.2">
      <c r="A27" s="115">
        <v>65</v>
      </c>
      <c r="B27" s="18">
        <f>'Revenue Build'!F12*65*0.08</f>
        <v>524684.15999999992</v>
      </c>
      <c r="C27" s="18">
        <f>'Revenue Build'!F12*65*0.1</f>
        <v>655855.19999999995</v>
      </c>
      <c r="D27" s="18">
        <f>'Revenue Build'!F12*65*0.11</f>
        <v>721440.71999999986</v>
      </c>
      <c r="E27" s="18">
        <f>'Revenue Build'!F12*65*0.12</f>
        <v>787026.23999999987</v>
      </c>
      <c r="F27" s="18">
        <f>'Revenue Build'!F12*65*0.13</f>
        <v>852611.75999999989</v>
      </c>
      <c r="G27" s="18">
        <f>'Revenue Build'!F12*65*0.15</f>
        <v>983782.79999999981</v>
      </c>
      <c r="H27" s="18">
        <f>'Revenue Build'!F12*65*0.18</f>
        <v>1180539.3599999999</v>
      </c>
    </row>
    <row r="28" spans="1:8" x14ac:dyDescent="0.2">
      <c r="A28" s="115">
        <v>75</v>
      </c>
      <c r="B28" s="18">
        <f>'Revenue Build'!F12*75*0.08</f>
        <v>605404.79999999993</v>
      </c>
      <c r="C28" s="18">
        <f>'Revenue Build'!F12*75*0.1</f>
        <v>756756</v>
      </c>
      <c r="D28" s="18">
        <f>'Revenue Build'!F12*75*0.11</f>
        <v>832431.59999999986</v>
      </c>
      <c r="E28" s="18">
        <f>'Revenue Build'!F12*75*0.12</f>
        <v>908107.19999999984</v>
      </c>
      <c r="F28" s="18">
        <f>'Revenue Build'!F12*75*0.13</f>
        <v>983782.79999999993</v>
      </c>
      <c r="G28" s="18">
        <f>'Revenue Build'!F12*75*0.15</f>
        <v>1135133.9999999998</v>
      </c>
      <c r="H28" s="18">
        <f>'Revenue Build'!F12*75*0.18</f>
        <v>1362160.7999999998</v>
      </c>
    </row>
    <row r="29" spans="1:8" x14ac:dyDescent="0.2">
      <c r="A29" s="115">
        <v>80</v>
      </c>
      <c r="B29" s="18">
        <f>'Revenue Build'!F12*80*0.08</f>
        <v>645765.12</v>
      </c>
      <c r="C29" s="18">
        <f>'Revenue Build'!F12*80*0.1</f>
        <v>807206.39999999991</v>
      </c>
      <c r="D29" s="18">
        <f>'Revenue Build'!F12*80*0.11</f>
        <v>887927.03999999992</v>
      </c>
      <c r="E29" s="18">
        <f>'Revenue Build'!F12*80*0.12</f>
        <v>968647.67999999982</v>
      </c>
      <c r="F29" s="18">
        <f>'Revenue Build'!F12*80*0.13</f>
        <v>1049368.3199999998</v>
      </c>
      <c r="G29" s="18">
        <f>'Revenue Build'!F12*80*0.15</f>
        <v>1210809.5999999999</v>
      </c>
      <c r="H29" s="18">
        <f>'Revenue Build'!F12*80*0.18</f>
        <v>1452971.5199999998</v>
      </c>
    </row>
    <row r="30" spans="1:8" x14ac:dyDescent="0.2">
      <c r="A30" s="115">
        <v>85</v>
      </c>
      <c r="B30" s="18">
        <f>'Revenue Build'!F12*85*0.08</f>
        <v>686125.43999999983</v>
      </c>
      <c r="C30" s="18">
        <f>'Revenue Build'!F12*85*0.1</f>
        <v>857656.79999999981</v>
      </c>
      <c r="D30" s="18">
        <f>'Revenue Build'!F12*85*0.11</f>
        <v>943422.47999999975</v>
      </c>
      <c r="E30" s="95">
        <f>'Revenue Build'!F12*85*0.12</f>
        <v>1029188.1599999997</v>
      </c>
      <c r="F30" s="18">
        <f>'Revenue Build'!F12*85*0.13</f>
        <v>1114953.8399999999</v>
      </c>
      <c r="G30" s="18">
        <f>'Revenue Build'!F12*85*0.15</f>
        <v>1286485.1999999997</v>
      </c>
      <c r="H30" s="18">
        <f>'Revenue Build'!F12*85*0.18</f>
        <v>1543782.2399999995</v>
      </c>
    </row>
    <row r="31" spans="1:8" x14ac:dyDescent="0.2">
      <c r="A31" s="115">
        <v>90</v>
      </c>
      <c r="B31" s="18">
        <f>'Revenue Build'!F12*90*0.08</f>
        <v>726485.75999999989</v>
      </c>
      <c r="C31" s="18">
        <f>'Revenue Build'!F12*90*0.1</f>
        <v>908107.19999999984</v>
      </c>
      <c r="D31" s="18">
        <f>'Revenue Build'!F12*90*0.11</f>
        <v>998917.91999999981</v>
      </c>
      <c r="E31" s="18">
        <f>'Revenue Build'!F12*90*0.12</f>
        <v>1089728.6399999997</v>
      </c>
      <c r="F31" s="18">
        <f>'Revenue Build'!F12*90*0.13</f>
        <v>1180539.3599999999</v>
      </c>
      <c r="G31" s="18">
        <f>'Revenue Build'!F12*90*0.15</f>
        <v>1362160.7999999996</v>
      </c>
      <c r="H31" s="18">
        <f>'Revenue Build'!F12*90*0.18</f>
        <v>1634592.9599999995</v>
      </c>
    </row>
    <row r="32" spans="1:8" x14ac:dyDescent="0.2">
      <c r="A32" s="115">
        <v>95</v>
      </c>
      <c r="B32" s="18">
        <f>'Revenue Build'!F12*95*0.08</f>
        <v>766846.07999999984</v>
      </c>
      <c r="C32" s="18">
        <f>'Revenue Build'!F12*95*0.1</f>
        <v>958557.59999999986</v>
      </c>
      <c r="D32" s="18">
        <f>'Revenue Build'!F12*95*0.11</f>
        <v>1054413.3599999999</v>
      </c>
      <c r="E32" s="18">
        <f>'Revenue Build'!F12*95*0.12</f>
        <v>1150269.1199999996</v>
      </c>
      <c r="F32" s="18">
        <f>'Revenue Build'!F12*95*0.13</f>
        <v>1246124.8799999999</v>
      </c>
      <c r="G32" s="18">
        <f>'Revenue Build'!F12*95*0.15</f>
        <v>1437836.3999999997</v>
      </c>
      <c r="H32" s="18">
        <f>'Revenue Build'!F12*95*0.18</f>
        <v>1725403.6799999997</v>
      </c>
    </row>
    <row r="33" spans="1:8" x14ac:dyDescent="0.2">
      <c r="A33" s="115">
        <v>105</v>
      </c>
      <c r="B33" s="18">
        <f>'Revenue Build'!F12*105*0.08</f>
        <v>847566.71999999986</v>
      </c>
      <c r="C33" s="18">
        <f>'Revenue Build'!F12*105*0.1</f>
        <v>1059458.3999999999</v>
      </c>
      <c r="D33" s="18">
        <f>'Revenue Build'!F12*105*0.11</f>
        <v>1165404.2399999998</v>
      </c>
      <c r="E33" s="18">
        <f>'Revenue Build'!F12*105*0.12</f>
        <v>1271350.0799999998</v>
      </c>
      <c r="F33" s="18">
        <f>'Revenue Build'!F12*105*0.13</f>
        <v>1377295.9199999997</v>
      </c>
      <c r="G33" s="18">
        <f>'Revenue Build'!F12*105*0.15</f>
        <v>1589187.5999999996</v>
      </c>
      <c r="H33" s="18">
        <f>'Revenue Build'!F12*105*0.18</f>
        <v>1907025.1199999996</v>
      </c>
    </row>
    <row r="36" spans="1:8" x14ac:dyDescent="0.2">
      <c r="A36" s="41" t="s">
        <v>607</v>
      </c>
      <c r="B36" s="116"/>
      <c r="C36" s="116"/>
      <c r="D36" s="116"/>
      <c r="E36" s="116"/>
      <c r="F36" s="116"/>
      <c r="G36" s="116"/>
      <c r="H36" s="116"/>
    </row>
    <row r="37" spans="1:8" x14ac:dyDescent="0.2">
      <c r="A37" s="5" t="s">
        <v>608</v>
      </c>
      <c r="B37" s="115">
        <v>4000</v>
      </c>
      <c r="C37" s="115">
        <v>6000</v>
      </c>
      <c r="D37" s="115">
        <v>7000</v>
      </c>
      <c r="E37" s="115">
        <v>8000</v>
      </c>
      <c r="F37" s="115">
        <v>9000</v>
      </c>
      <c r="G37" s="115">
        <v>10000</v>
      </c>
      <c r="H37" s="115">
        <v>12000</v>
      </c>
    </row>
    <row r="38" spans="1:8" x14ac:dyDescent="0.2">
      <c r="A38" s="5">
        <v>15</v>
      </c>
      <c r="B38" s="18">
        <f>15*4*4000+15*0.3*15000+15*0.2*5000</f>
        <v>322500</v>
      </c>
      <c r="C38" s="18">
        <f>15*4*6000+15*0.3*15000+15*0.2*5000</f>
        <v>442500</v>
      </c>
      <c r="D38" s="18">
        <f>15*4*7000+15*0.3*15000+15*0.2*5000</f>
        <v>502500</v>
      </c>
      <c r="E38" s="18">
        <f>15*4*8000+15*0.3*15000+15*0.2*5000</f>
        <v>562500</v>
      </c>
      <c r="F38" s="18">
        <f>15*4*9000+15*0.3*15000+15*0.2*5000</f>
        <v>622500</v>
      </c>
      <c r="G38" s="18">
        <f>15*4*10000+15*0.3*15000+15*0.2*5000</f>
        <v>682500</v>
      </c>
      <c r="H38" s="18">
        <f>15*4*12000+15*0.3*15000+15*0.2*5000</f>
        <v>802500</v>
      </c>
    </row>
    <row r="39" spans="1:8" x14ac:dyDescent="0.2">
      <c r="A39" s="5">
        <v>25</v>
      </c>
      <c r="B39" s="18">
        <f>25*4*4000+25*0.3*15000+25*0.2*5000</f>
        <v>537500</v>
      </c>
      <c r="C39" s="18">
        <f>25*4*6000+25*0.3*15000+25*0.2*5000</f>
        <v>737500</v>
      </c>
      <c r="D39" s="18">
        <f>25*4*7000+25*0.3*15000+25*0.2*5000</f>
        <v>837500</v>
      </c>
      <c r="E39" s="18">
        <f>25*4*8000+25*0.3*15000+25*0.2*5000</f>
        <v>937500</v>
      </c>
      <c r="F39" s="18">
        <f>25*4*9000+25*0.3*15000+25*0.2*5000</f>
        <v>1037500</v>
      </c>
      <c r="G39" s="18">
        <f>25*4*10000+25*0.3*15000+25*0.2*5000</f>
        <v>1137500</v>
      </c>
      <c r="H39" s="18">
        <f>25*4*12000+25*0.3*15000+25*0.2*5000</f>
        <v>1337500</v>
      </c>
    </row>
    <row r="40" spans="1:8" x14ac:dyDescent="0.2">
      <c r="A40" s="5">
        <v>35</v>
      </c>
      <c r="B40" s="18">
        <f>35*4*4000+35*0.3*15000+35*0.2*5000</f>
        <v>752500</v>
      </c>
      <c r="C40" s="18">
        <f>35*4*6000+35*0.3*15000+35*0.2*5000</f>
        <v>1032500</v>
      </c>
      <c r="D40" s="18">
        <f>35*4*7000+35*0.3*15000+35*0.2*5000</f>
        <v>1172500</v>
      </c>
      <c r="E40" s="18">
        <f>35*4*8000+35*0.3*15000+35*0.2*5000</f>
        <v>1312500</v>
      </c>
      <c r="F40" s="18">
        <f>35*4*9000+35*0.3*15000+35*0.2*5000</f>
        <v>1452500</v>
      </c>
      <c r="G40" s="18">
        <f>35*4*10000+35*0.3*15000+35*0.2*5000</f>
        <v>1592500</v>
      </c>
      <c r="H40" s="18">
        <f>35*4*12000+35*0.3*15000+35*0.2*5000</f>
        <v>1872500</v>
      </c>
    </row>
    <row r="41" spans="1:8" x14ac:dyDescent="0.2">
      <c r="A41" s="5">
        <v>45</v>
      </c>
      <c r="B41" s="18">
        <f>45*4*4000+45*0.3*15000+45*0.2*5000</f>
        <v>967500</v>
      </c>
      <c r="C41" s="18">
        <f>45*4*6000+45*0.3*15000+45*0.2*5000</f>
        <v>1327500</v>
      </c>
      <c r="D41" s="18">
        <f>45*4*7000+45*0.3*15000+45*0.2*5000</f>
        <v>1507500</v>
      </c>
      <c r="E41" s="95">
        <f>45*4*8000+45*0.3*15000+45*0.2*5000</f>
        <v>1687500</v>
      </c>
      <c r="F41" s="18">
        <f>45*4*9000+45*0.3*15000+45*0.2*5000</f>
        <v>1867500</v>
      </c>
      <c r="G41" s="18">
        <f>45*4*10000+45*0.3*15000+45*0.2*5000</f>
        <v>2047500</v>
      </c>
      <c r="H41" s="18">
        <f>45*4*12000+45*0.3*15000+45*0.2*5000</f>
        <v>2407500</v>
      </c>
    </row>
    <row r="42" spans="1:8" x14ac:dyDescent="0.2">
      <c r="A42" s="5">
        <v>55</v>
      </c>
      <c r="B42" s="18">
        <f>55*4*4000+55*0.3*15000+55*0.2*5000</f>
        <v>1182500</v>
      </c>
      <c r="C42" s="18">
        <f>55*4*6000+55*0.3*15000+55*0.2*5000</f>
        <v>1622500</v>
      </c>
      <c r="D42" s="18">
        <f>55*4*7000+55*0.3*15000+55*0.2*5000</f>
        <v>1842500</v>
      </c>
      <c r="E42" s="18">
        <f>55*4*8000+55*0.3*15000+55*0.2*5000</f>
        <v>2062500</v>
      </c>
      <c r="F42" s="18">
        <f>55*4*9000+55*0.3*15000+55*0.2*5000</f>
        <v>2282500</v>
      </c>
      <c r="G42" s="18">
        <f>55*4*10000+55*0.3*15000+55*0.2*5000</f>
        <v>2502500</v>
      </c>
      <c r="H42" s="18">
        <f>55*4*12000+55*0.3*15000+55*0.2*5000</f>
        <v>2942500</v>
      </c>
    </row>
    <row r="43" spans="1:8" x14ac:dyDescent="0.2">
      <c r="A43" s="5">
        <v>65</v>
      </c>
      <c r="B43" s="18">
        <f>65*4*4000+65*0.3*15000+65*0.2*5000</f>
        <v>1397500</v>
      </c>
      <c r="C43" s="18">
        <f>65*4*6000+65*0.3*15000+65*0.2*5000</f>
        <v>1917500</v>
      </c>
      <c r="D43" s="18">
        <f>65*4*7000+65*0.3*15000+65*0.2*5000</f>
        <v>2177500</v>
      </c>
      <c r="E43" s="18">
        <f>65*4*8000+65*0.3*15000+65*0.2*5000</f>
        <v>2437500</v>
      </c>
      <c r="F43" s="18">
        <f>65*4*9000+65*0.3*15000+65*0.2*5000</f>
        <v>2697500</v>
      </c>
      <c r="G43" s="18">
        <f>65*4*10000+65*0.3*15000+65*0.2*5000</f>
        <v>2957500</v>
      </c>
      <c r="H43" s="18">
        <f>65*4*12000+65*0.3*15000+65*0.2*5000</f>
        <v>3477500</v>
      </c>
    </row>
    <row r="44" spans="1:8" x14ac:dyDescent="0.2">
      <c r="A44" s="5">
        <v>80</v>
      </c>
      <c r="B44" s="18">
        <f>80*4*4000+80*0.3*15000+80*0.2*5000</f>
        <v>1720000</v>
      </c>
      <c r="C44" s="18">
        <f>80*4*6000+80*0.3*15000+80*0.2*5000</f>
        <v>2360000</v>
      </c>
      <c r="D44" s="18">
        <f>80*4*7000+80*0.3*15000+80*0.2*5000</f>
        <v>2680000</v>
      </c>
      <c r="E44" s="18">
        <f>80*4*8000+80*0.3*15000+80*0.2*5000</f>
        <v>3000000</v>
      </c>
      <c r="F44" s="18">
        <f>80*4*9000+80*0.3*15000+80*0.2*5000</f>
        <v>3320000</v>
      </c>
      <c r="G44" s="18">
        <f>80*4*10000+80*0.3*15000+80*0.2*5000</f>
        <v>3640000</v>
      </c>
      <c r="H44" s="18">
        <f>80*4*12000+80*0.3*15000+80*0.2*5000</f>
        <v>4280000</v>
      </c>
    </row>
    <row r="46" spans="1:8" x14ac:dyDescent="0.2">
      <c r="A46" s="103" t="s">
        <v>1031</v>
      </c>
      <c r="B46" s="102"/>
      <c r="C46" s="102"/>
      <c r="D46" s="102"/>
      <c r="E46" s="102"/>
      <c r="F46" s="102"/>
      <c r="G46" s="102"/>
      <c r="H46" s="102"/>
    </row>
    <row r="47" spans="1:8" x14ac:dyDescent="0.2">
      <c r="A47" s="5" t="s">
        <v>1032</v>
      </c>
      <c r="B47" s="115">
        <v>300</v>
      </c>
      <c r="C47" s="115">
        <v>400</v>
      </c>
      <c r="D47" s="115">
        <v>500</v>
      </c>
      <c r="E47" s="115">
        <v>600</v>
      </c>
      <c r="F47" s="115">
        <v>700</v>
      </c>
      <c r="G47" s="115">
        <v>800</v>
      </c>
      <c r="H47" s="115">
        <v>1000</v>
      </c>
    </row>
    <row r="48" spans="1:8" x14ac:dyDescent="0.2">
      <c r="A48" s="114">
        <v>0.1</v>
      </c>
      <c r="B48" s="19">
        <f>(50000*0.04*0.02*0.08*0.1*12*85*0.12-300*12)/300*12</f>
        <v>-142.43328</v>
      </c>
      <c r="C48" s="19">
        <f>(50000*0.04*0.02*0.08*0.1*12*85*0.12-400*12)/400*12</f>
        <v>-142.82496000000003</v>
      </c>
      <c r="D48" s="19">
        <f>(50000*0.04*0.02*0.08*0.1*12*85*0.12-500*12)/500*12</f>
        <v>-143.059968</v>
      </c>
      <c r="E48" s="19">
        <f>(50000*0.04*0.02*0.08*0.1*12*85*0.12-600*12)/600*12</f>
        <v>-143.21664000000001</v>
      </c>
      <c r="F48" s="19">
        <f>(50000*0.04*0.02*0.08*0.1*12*85*0.12-700*12)/700*12</f>
        <v>-143.32854857142857</v>
      </c>
      <c r="G48" s="19">
        <f>(50000*0.04*0.02*0.08*0.1*12*85*0.12-800*12)/800*12</f>
        <v>-143.41248000000002</v>
      </c>
      <c r="H48" s="19">
        <f>(50000*0.04*0.02*0.08*0.1*12*85*0.12-1000*12)/1000*12</f>
        <v>-143.52998400000001</v>
      </c>
    </row>
    <row r="49" spans="1:8" x14ac:dyDescent="0.2">
      <c r="A49" s="114">
        <v>0.15</v>
      </c>
      <c r="B49" s="19">
        <f>(50000*0.04*0.02*0.08*0.15*12*85*0.12-300*12)/300*12</f>
        <v>-141.64992000000001</v>
      </c>
      <c r="C49" s="19">
        <f>(50000*0.04*0.02*0.08*0.15*12*85*0.12-400*12)/400*12</f>
        <v>-142.23743999999999</v>
      </c>
      <c r="D49" s="19">
        <f>(50000*0.04*0.02*0.08*0.15*12*85*0.12-500*12)/500*12</f>
        <v>-142.58995199999998</v>
      </c>
      <c r="E49" s="19">
        <f>(50000*0.04*0.02*0.08*0.15*12*85*0.12-600*12)/600*12</f>
        <v>-142.82496</v>
      </c>
      <c r="F49" s="19">
        <f>(50000*0.04*0.02*0.08*0.15*12*85*0.12-700*12)/700*12</f>
        <v>-142.99282285714287</v>
      </c>
      <c r="G49" s="19">
        <f>(50000*0.04*0.02*0.08*0.15*12*85*0.12-800*12)/800*12</f>
        <v>-143.11872</v>
      </c>
      <c r="H49" s="19">
        <f>(50000*0.04*0.02*0.08*0.15*12*85*0.12-1000*12)/1000*12</f>
        <v>-143.29497599999999</v>
      </c>
    </row>
    <row r="50" spans="1:8" x14ac:dyDescent="0.2">
      <c r="A50" s="114">
        <v>0.2</v>
      </c>
      <c r="B50" s="19">
        <f>(50000*0.04*0.02*0.08*0.2*12*85*0.12-300*12)/300*12</f>
        <v>-140.86655999999999</v>
      </c>
      <c r="C50" s="19">
        <f>(50000*0.04*0.02*0.08*0.2*12*85*0.12-400*12)/400*12</f>
        <v>-141.64992000000001</v>
      </c>
      <c r="D50" s="19">
        <f>(50000*0.04*0.02*0.08*0.2*12*85*0.12-500*12)/500*12</f>
        <v>-142.119936</v>
      </c>
      <c r="E50" s="19">
        <f>(50000*0.04*0.02*0.08*0.2*12*85*0.12-600*12)/600*12</f>
        <v>-142.43328</v>
      </c>
      <c r="F50" s="19">
        <f>(50000*0.04*0.02*0.08*0.2*12*85*0.12-700*12)/700*12</f>
        <v>-142.65709714285717</v>
      </c>
      <c r="G50" s="19">
        <f>(50000*0.04*0.02*0.08*0.2*12*85*0.12-800*12)/800*12</f>
        <v>-142.82496000000003</v>
      </c>
      <c r="H50" s="19">
        <f>(50000*0.04*0.02*0.08*0.2*12*85*0.12-1000*12)/1000*12</f>
        <v>-143.059968</v>
      </c>
    </row>
    <row r="51" spans="1:8" x14ac:dyDescent="0.2">
      <c r="A51" s="114">
        <v>0.25</v>
      </c>
      <c r="B51" s="19">
        <f>(50000*0.04*0.02*0.08*0.25*12*85*0.12-300*12)/300*12</f>
        <v>-140.08320000000001</v>
      </c>
      <c r="C51" s="19">
        <f>(50000*0.04*0.02*0.08*0.25*12*85*0.12-400*12)/400*12</f>
        <v>-141.0624</v>
      </c>
      <c r="D51" s="19">
        <f>(50000*0.04*0.02*0.08*0.25*12*85*0.12-500*12)/500*12</f>
        <v>-141.64992000000001</v>
      </c>
      <c r="E51" s="161">
        <f>(50000*0.04*0.02*0.08*0.25*12*85*0.12-600*12)/600*12</f>
        <v>-142.04160000000002</v>
      </c>
      <c r="F51" s="19">
        <f>(50000*0.04*0.02*0.08*0.25*12*85*0.12-700*12)/700*12</f>
        <v>-142.32137142857141</v>
      </c>
      <c r="G51" s="19">
        <f>(50000*0.04*0.02*0.08*0.25*12*85*0.12-800*12)/800*12</f>
        <v>-142.53119999999998</v>
      </c>
      <c r="H51" s="19">
        <f>(50000*0.04*0.02*0.08*0.25*12*85*0.12-1000*12)/1000*12</f>
        <v>-142.82496</v>
      </c>
    </row>
    <row r="52" spans="1:8" x14ac:dyDescent="0.2">
      <c r="A52" s="114">
        <v>0.3</v>
      </c>
      <c r="B52" s="19">
        <f>(50000*0.04*0.02*0.08*0.3*12*85*0.12-300*12)/300*12</f>
        <v>-139.29984000000002</v>
      </c>
      <c r="C52" s="19">
        <f>(50000*0.04*0.02*0.08*0.3*12*85*0.12-400*12)/400*12</f>
        <v>-140.47488000000001</v>
      </c>
      <c r="D52" s="19">
        <f>(50000*0.04*0.02*0.08*0.3*12*85*0.12-500*12)/500*12</f>
        <v>-141.17990399999999</v>
      </c>
      <c r="E52" s="19">
        <f>(50000*0.04*0.02*0.08*0.3*12*85*0.12-600*12)/600*12</f>
        <v>-141.64992000000001</v>
      </c>
      <c r="F52" s="19">
        <f>(50000*0.04*0.02*0.08*0.3*12*85*0.12-700*12)/700*12</f>
        <v>-141.98564571428571</v>
      </c>
      <c r="G52" s="19">
        <f>(50000*0.04*0.02*0.08*0.3*12*85*0.12-800*12)/800*12</f>
        <v>-142.23743999999999</v>
      </c>
      <c r="H52" s="19">
        <f>(50000*0.04*0.02*0.08*0.3*12*85*0.12-1000*12)/1000*12</f>
        <v>-142.58995199999998</v>
      </c>
    </row>
    <row r="53" spans="1:8" x14ac:dyDescent="0.2">
      <c r="A53" s="114">
        <v>0.35</v>
      </c>
      <c r="B53" s="19">
        <f>(50000*0.04*0.02*0.08*0.35*12*85*0.12-300*12)/300*12</f>
        <v>-138.51648</v>
      </c>
      <c r="C53" s="19">
        <f>(50000*0.04*0.02*0.08*0.35*12*85*0.12-400*12)/400*12</f>
        <v>-139.88736</v>
      </c>
      <c r="D53" s="19">
        <f>(50000*0.04*0.02*0.08*0.35*12*85*0.12-500*12)/500*12</f>
        <v>-140.70988800000001</v>
      </c>
      <c r="E53" s="19">
        <f>(50000*0.04*0.02*0.08*0.35*12*85*0.12-600*12)/600*12</f>
        <v>-141.25824</v>
      </c>
      <c r="F53" s="19">
        <f>(50000*0.04*0.02*0.08*0.35*12*85*0.12-700*12)/700*12</f>
        <v>-141.64992000000001</v>
      </c>
      <c r="G53" s="19">
        <f>(50000*0.04*0.02*0.08*0.35*12*85*0.12-800*12)/800*12</f>
        <v>-141.94368</v>
      </c>
      <c r="H53" s="19">
        <f>(50000*0.04*0.02*0.08*0.35*12*85*0.12-1000*12)/1000*12</f>
        <v>-142.35494399999999</v>
      </c>
    </row>
    <row r="54" spans="1:8" x14ac:dyDescent="0.2">
      <c r="A54" s="114">
        <v>0.4</v>
      </c>
      <c r="B54" s="19">
        <f>(50000*0.04*0.02*0.08*0.4*12*85*0.12-300*12)/300*12</f>
        <v>-137.73311999999999</v>
      </c>
      <c r="C54" s="19">
        <f>(50000*0.04*0.02*0.08*0.4*12*85*0.12-400*12)/400*12</f>
        <v>-139.29983999999999</v>
      </c>
      <c r="D54" s="19">
        <f>(50000*0.04*0.02*0.08*0.4*12*85*0.12-500*12)/500*12</f>
        <v>-140.23987199999999</v>
      </c>
      <c r="E54" s="19">
        <f>(50000*0.04*0.02*0.08*0.4*12*85*0.12-600*12)/600*12</f>
        <v>-140.86655999999999</v>
      </c>
      <c r="F54" s="19">
        <f>(50000*0.04*0.02*0.08*0.4*12*85*0.12-700*12)/700*12</f>
        <v>-141.31419428571428</v>
      </c>
      <c r="G54" s="19">
        <f>(50000*0.04*0.02*0.08*0.4*12*85*0.12-800*12)/800*12</f>
        <v>-141.64992000000001</v>
      </c>
      <c r="H54" s="19">
        <f>(50000*0.04*0.02*0.08*0.4*12*85*0.12-1000*12)/1000*12</f>
        <v>-142.119936</v>
      </c>
    </row>
    <row r="56" spans="1:8" x14ac:dyDescent="0.2">
      <c r="A56" s="163" t="s">
        <v>1033</v>
      </c>
      <c r="B56" s="162"/>
      <c r="C56" s="162"/>
      <c r="D56" s="162"/>
      <c r="E56" s="162"/>
      <c r="F56" s="162"/>
      <c r="G56" s="162"/>
      <c r="H56" s="162"/>
    </row>
    <row r="57" spans="1:8" x14ac:dyDescent="0.2">
      <c r="A57" s="5" t="s">
        <v>1034</v>
      </c>
      <c r="B57" s="5" t="s">
        <v>1035</v>
      </c>
      <c r="C57" s="5" t="s">
        <v>596</v>
      </c>
      <c r="D57" s="5" t="s">
        <v>597</v>
      </c>
      <c r="E57" s="5" t="s">
        <v>599</v>
      </c>
      <c r="F57" s="5" t="s">
        <v>601</v>
      </c>
      <c r="G57" s="5" t="s">
        <v>602</v>
      </c>
      <c r="H57" s="5" t="s">
        <v>1036</v>
      </c>
    </row>
    <row r="58" spans="1:8" x14ac:dyDescent="0.2">
      <c r="A58" s="114">
        <v>0.1</v>
      </c>
      <c r="B58" s="39">
        <f>5000000*0.1*6/1000000</f>
        <v>3</v>
      </c>
      <c r="C58" s="39">
        <f>5000000*0.1*8/1000000</f>
        <v>4</v>
      </c>
      <c r="D58" s="39">
        <f>5000000*0.1*10/1000000</f>
        <v>5</v>
      </c>
      <c r="E58" s="39">
        <f>5000000*0.1*12/1000000</f>
        <v>6</v>
      </c>
      <c r="F58" s="39">
        <f>5000000*0.1*14/1000000</f>
        <v>7</v>
      </c>
      <c r="G58" s="39">
        <f>5000000*0.1*16/1000000</f>
        <v>8</v>
      </c>
      <c r="H58" s="39">
        <f>5000000*0.1*20/1000000</f>
        <v>10</v>
      </c>
    </row>
    <row r="59" spans="1:8" x14ac:dyDescent="0.2">
      <c r="A59" s="114">
        <v>0.15</v>
      </c>
      <c r="B59" s="39">
        <f>5000000*0.15*6/1000000</f>
        <v>4.5</v>
      </c>
      <c r="C59" s="39">
        <f>5000000*0.15*8/1000000</f>
        <v>6</v>
      </c>
      <c r="D59" s="39">
        <f>5000000*0.15*10/1000000</f>
        <v>7.5</v>
      </c>
      <c r="E59" s="39">
        <f>5000000*0.15*12/1000000</f>
        <v>9</v>
      </c>
      <c r="F59" s="39">
        <f>5000000*0.15*14/1000000</f>
        <v>10.5</v>
      </c>
      <c r="G59" s="39">
        <f>5000000*0.15*16/1000000</f>
        <v>12</v>
      </c>
      <c r="H59" s="39">
        <f>5000000*0.15*20/1000000</f>
        <v>15</v>
      </c>
    </row>
    <row r="60" spans="1:8" x14ac:dyDescent="0.2">
      <c r="A60" s="114">
        <v>0.2</v>
      </c>
      <c r="B60" s="39">
        <f>5000000*0.2*6/1000000</f>
        <v>6</v>
      </c>
      <c r="C60" s="39">
        <f>5000000*0.2*8/1000000</f>
        <v>8</v>
      </c>
      <c r="D60" s="39">
        <f>5000000*0.2*10/1000000</f>
        <v>10</v>
      </c>
      <c r="E60" s="39">
        <f>5000000*0.2*12/1000000</f>
        <v>12</v>
      </c>
      <c r="F60" s="39">
        <f>5000000*0.2*14/1000000</f>
        <v>14</v>
      </c>
      <c r="G60" s="39">
        <f>5000000*0.2*16/1000000</f>
        <v>16</v>
      </c>
      <c r="H60" s="39">
        <f>5000000*0.2*20/1000000</f>
        <v>20</v>
      </c>
    </row>
    <row r="61" spans="1:8" x14ac:dyDescent="0.2">
      <c r="A61" s="114">
        <v>0.25</v>
      </c>
      <c r="B61" s="39">
        <f>5000000*0.25*6/1000000</f>
        <v>7.5</v>
      </c>
      <c r="C61" s="39">
        <f>5000000*0.25*8/1000000</f>
        <v>10</v>
      </c>
      <c r="D61" s="39">
        <f>5000000*0.25*10/1000000</f>
        <v>12.5</v>
      </c>
      <c r="E61" s="164">
        <f>5000000*0.25*12/1000000</f>
        <v>15</v>
      </c>
      <c r="F61" s="39">
        <f>5000000*0.25*14/1000000</f>
        <v>17.5</v>
      </c>
      <c r="G61" s="39">
        <f>5000000*0.25*16/1000000</f>
        <v>20</v>
      </c>
      <c r="H61" s="39">
        <f>5000000*0.25*20/1000000</f>
        <v>25</v>
      </c>
    </row>
    <row r="62" spans="1:8" x14ac:dyDescent="0.2">
      <c r="A62" s="114">
        <v>0.3</v>
      </c>
      <c r="B62" s="39">
        <f>5000000*0.3*6/1000000</f>
        <v>9</v>
      </c>
      <c r="C62" s="39">
        <f>5000000*0.3*8/1000000</f>
        <v>12</v>
      </c>
      <c r="D62" s="39">
        <f>5000000*0.3*10/1000000</f>
        <v>15</v>
      </c>
      <c r="E62" s="39">
        <f>5000000*0.3*12/1000000</f>
        <v>18</v>
      </c>
      <c r="F62" s="39">
        <f>5000000*0.3*14/1000000</f>
        <v>21</v>
      </c>
      <c r="G62" s="39">
        <f>5000000*0.3*16/1000000</f>
        <v>24</v>
      </c>
      <c r="H62" s="39">
        <f>5000000*0.3*20/1000000</f>
        <v>30</v>
      </c>
    </row>
    <row r="63" spans="1:8" x14ac:dyDescent="0.2">
      <c r="A63" s="114">
        <v>0.35</v>
      </c>
      <c r="B63" s="39">
        <f>5000000*0.35*6/1000000</f>
        <v>10.5</v>
      </c>
      <c r="C63" s="39">
        <f>5000000*0.35*8/1000000</f>
        <v>14</v>
      </c>
      <c r="D63" s="39">
        <f>5000000*0.35*10/1000000</f>
        <v>17.5</v>
      </c>
      <c r="E63" s="39">
        <f>5000000*0.35*12/1000000</f>
        <v>21</v>
      </c>
      <c r="F63" s="39">
        <f>5000000*0.35*14/1000000</f>
        <v>24.5</v>
      </c>
      <c r="G63" s="39">
        <f>5000000*0.35*16/1000000</f>
        <v>28</v>
      </c>
      <c r="H63" s="39">
        <f>5000000*0.35*20/1000000</f>
        <v>35</v>
      </c>
    </row>
    <row r="64" spans="1:8" x14ac:dyDescent="0.2">
      <c r="A64" s="114">
        <v>0.4</v>
      </c>
      <c r="B64" s="39">
        <f>5000000*0.4*6/1000000</f>
        <v>12</v>
      </c>
      <c r="C64" s="39">
        <f>5000000*0.4*8/1000000</f>
        <v>16</v>
      </c>
      <c r="D64" s="39">
        <f>5000000*0.4*10/1000000</f>
        <v>20</v>
      </c>
      <c r="E64" s="39">
        <f>5000000*0.4*12/1000000</f>
        <v>24</v>
      </c>
      <c r="F64" s="39">
        <f>5000000*0.4*14/1000000</f>
        <v>28</v>
      </c>
      <c r="G64" s="39">
        <f>5000000*0.4*16/1000000</f>
        <v>32</v>
      </c>
      <c r="H64" s="39">
        <f>5000000*0.4*20/1000000</f>
        <v>40</v>
      </c>
    </row>
    <row r="66" spans="1:8" x14ac:dyDescent="0.2">
      <c r="A66" s="93" t="s">
        <v>1037</v>
      </c>
      <c r="B66" s="94"/>
      <c r="C66" s="94"/>
      <c r="D66" s="94"/>
      <c r="E66" s="94"/>
      <c r="F66" s="94"/>
      <c r="G66" s="94"/>
      <c r="H66" s="94"/>
    </row>
    <row r="67" spans="1:8" x14ac:dyDescent="0.2">
      <c r="A67" s="5" t="s">
        <v>1038</v>
      </c>
      <c r="B67" s="5">
        <v>4</v>
      </c>
      <c r="C67" s="5">
        <v>6</v>
      </c>
      <c r="D67" s="5">
        <v>7</v>
      </c>
      <c r="E67" s="5">
        <v>8</v>
      </c>
      <c r="F67" s="5">
        <v>10</v>
      </c>
      <c r="G67" s="5">
        <v>12</v>
      </c>
      <c r="H67" s="5">
        <v>15</v>
      </c>
    </row>
    <row r="68" spans="1:8" x14ac:dyDescent="0.2">
      <c r="A68" s="114">
        <v>0.3</v>
      </c>
      <c r="B68" s="18">
        <f>630*0.3*0.7*4*44*96*0.12/1000</f>
        <v>268.24089599999996</v>
      </c>
      <c r="C68" s="18">
        <f>630*0.3*0.7*6*44*96*0.12/1000</f>
        <v>402.36134399999992</v>
      </c>
      <c r="D68" s="18">
        <f>630*0.3*0.7*7*44*96*0.12/1000</f>
        <v>469.42156799999992</v>
      </c>
      <c r="E68" s="18">
        <f>630*0.3*0.7*8*44*96*0.12/1000</f>
        <v>536.48179199999993</v>
      </c>
      <c r="F68" s="18">
        <f>630*0.3*0.7*10*44*96*0.12/1000</f>
        <v>670.60223999999982</v>
      </c>
      <c r="G68" s="18">
        <f>630*0.3*0.7*12*44*96*0.12/1000</f>
        <v>804.72268799999983</v>
      </c>
      <c r="H68" s="18">
        <f>630*0.3*0.7*15*44*96*0.12/1000</f>
        <v>1005.9033599999998</v>
      </c>
    </row>
    <row r="69" spans="1:8" x14ac:dyDescent="0.2">
      <c r="A69" s="114">
        <v>0.4</v>
      </c>
      <c r="B69" s="18">
        <f>630*0.4*0.7*4*44*96*0.12/1000</f>
        <v>357.65452799999991</v>
      </c>
      <c r="C69" s="18">
        <f>630*0.4*0.7*6*44*96*0.12/1000</f>
        <v>536.48179199999993</v>
      </c>
      <c r="D69" s="18">
        <f>630*0.4*0.7*7*44*96*0.12/1000</f>
        <v>625.89542399999993</v>
      </c>
      <c r="E69" s="18">
        <f>630*0.4*0.7*8*44*96*0.12/1000</f>
        <v>715.30905599999983</v>
      </c>
      <c r="F69" s="18">
        <f>630*0.4*0.7*10*44*96*0.12/1000</f>
        <v>894.13631999999973</v>
      </c>
      <c r="G69" s="18">
        <f>630*0.4*0.7*12*44*96*0.12/1000</f>
        <v>1072.9635839999999</v>
      </c>
      <c r="H69" s="18">
        <f>630*0.4*0.7*15*44*96*0.12/1000</f>
        <v>1341.2044799999996</v>
      </c>
    </row>
    <row r="70" spans="1:8" x14ac:dyDescent="0.2">
      <c r="A70" s="114">
        <v>0.5</v>
      </c>
      <c r="B70" s="18">
        <f>630*0.5*0.7*4*44*96*0.12/1000</f>
        <v>447.06815999999998</v>
      </c>
      <c r="C70" s="18">
        <f>630*0.5*0.7*6*44*96*0.12/1000</f>
        <v>670.60223999999994</v>
      </c>
      <c r="D70" s="18">
        <f>630*0.5*0.7*7*44*96*0.12/1000</f>
        <v>782.36928</v>
      </c>
      <c r="E70" s="18">
        <f>630*0.5*0.7*8*44*96*0.12/1000</f>
        <v>894.13631999999996</v>
      </c>
      <c r="F70" s="18">
        <f>630*0.5*0.7*10*44*96*0.12/1000</f>
        <v>1117.6704</v>
      </c>
      <c r="G70" s="18">
        <f>630*0.5*0.7*12*44*96*0.12/1000</f>
        <v>1341.2044799999999</v>
      </c>
      <c r="H70" s="18">
        <f>630*0.5*0.7*15*44*96*0.12/1000</f>
        <v>1676.5056</v>
      </c>
    </row>
    <row r="71" spans="1:8" x14ac:dyDescent="0.2">
      <c r="A71" s="114">
        <v>0.65</v>
      </c>
      <c r="B71" s="18">
        <f>630*0.65*0.7*4*44*96*0.12/1000</f>
        <v>581.18860799999993</v>
      </c>
      <c r="C71" s="18">
        <f>630*0.65*0.7*6*44*96*0.12/1000</f>
        <v>871.7829119999999</v>
      </c>
      <c r="D71" s="18">
        <f>630*0.65*0.7*7*44*96*0.12/1000</f>
        <v>1017.0800639999999</v>
      </c>
      <c r="E71" s="95">
        <f>630*0.65*0.7*8*44*96*0.12/1000</f>
        <v>1162.3772159999999</v>
      </c>
      <c r="F71" s="18">
        <f>630*0.65*0.7*10*44*96*0.12/1000</f>
        <v>1452.9715200000001</v>
      </c>
      <c r="G71" s="18">
        <f>630*0.65*0.7*12*44*96*0.12/1000</f>
        <v>1743.5658239999998</v>
      </c>
      <c r="H71" s="18">
        <f>630*0.65*0.7*15*44*96*0.12/1000</f>
        <v>2179.4572799999996</v>
      </c>
    </row>
    <row r="72" spans="1:8" x14ac:dyDescent="0.2">
      <c r="A72" s="114">
        <v>0.75</v>
      </c>
      <c r="B72" s="18">
        <f>630*0.75*0.7*4*44*96*0.12/1000</f>
        <v>670.60223999999994</v>
      </c>
      <c r="C72" s="18">
        <f>630*0.75*0.7*6*44*96*0.12/1000</f>
        <v>1005.90336</v>
      </c>
      <c r="D72" s="18">
        <f>630*0.75*0.7*7*44*96*0.12/1000</f>
        <v>1173.5539199999998</v>
      </c>
      <c r="E72" s="18">
        <f>630*0.75*0.7*8*44*96*0.12/1000</f>
        <v>1341.2044799999999</v>
      </c>
      <c r="F72" s="18">
        <f>630*0.75*0.7*10*44*96*0.12/1000</f>
        <v>1676.5056</v>
      </c>
      <c r="G72" s="18">
        <f>630*0.75*0.7*12*44*96*0.12/1000</f>
        <v>2011.80672</v>
      </c>
      <c r="H72" s="18">
        <f>630*0.75*0.7*15*44*96*0.12/1000</f>
        <v>2514.7583999999997</v>
      </c>
    </row>
    <row r="73" spans="1:8" x14ac:dyDescent="0.2">
      <c r="A73" s="114">
        <v>0.8</v>
      </c>
      <c r="B73" s="18">
        <f>630*0.8*0.7*4*44*96*0.12/1000</f>
        <v>715.30905599999983</v>
      </c>
      <c r="C73" s="18">
        <f>630*0.8*0.7*6*44*96*0.12/1000</f>
        <v>1072.9635839999999</v>
      </c>
      <c r="D73" s="18">
        <f>630*0.8*0.7*7*44*96*0.12/1000</f>
        <v>1251.7908479999999</v>
      </c>
      <c r="E73" s="18">
        <f>630*0.8*0.7*8*44*96*0.12/1000</f>
        <v>1430.6181119999997</v>
      </c>
      <c r="F73" s="18">
        <f>630*0.8*0.7*10*44*96*0.12/1000</f>
        <v>1788.2726399999995</v>
      </c>
      <c r="G73" s="18">
        <f>630*0.8*0.7*12*44*96*0.12/1000</f>
        <v>2145.9271679999997</v>
      </c>
      <c r="H73" s="18">
        <f>630*0.8*0.7*15*44*96*0.12/1000</f>
        <v>2682.4089599999993</v>
      </c>
    </row>
    <row r="74" spans="1:8" x14ac:dyDescent="0.2">
      <c r="A74" s="114">
        <v>0.9</v>
      </c>
      <c r="B74" s="18">
        <f>630*0.9*0.7*4*44*96*0.12/1000</f>
        <v>804.72268799999983</v>
      </c>
      <c r="C74" s="18">
        <f>630*0.9*0.7*6*44*96*0.12/1000</f>
        <v>1207.0840319999998</v>
      </c>
      <c r="D74" s="18">
        <f>630*0.9*0.7*7*44*96*0.12/1000</f>
        <v>1408.2647039999999</v>
      </c>
      <c r="E74" s="18">
        <f>630*0.9*0.7*8*44*96*0.12/1000</f>
        <v>1609.4453759999997</v>
      </c>
      <c r="F74" s="18">
        <f>630*0.9*0.7*10*44*96*0.12/1000</f>
        <v>2011.80672</v>
      </c>
      <c r="G74" s="18">
        <f>630*0.9*0.7*12*44*96*0.12/1000</f>
        <v>2414.1680639999995</v>
      </c>
      <c r="H74" s="18">
        <f>630*0.9*0.7*15*44*96*0.12/1000</f>
        <v>3017.7100800000003</v>
      </c>
    </row>
    <row r="76" spans="1:8" x14ac:dyDescent="0.2">
      <c r="A76" s="165" t="s">
        <v>1039</v>
      </c>
      <c r="B76" s="112"/>
      <c r="C76" s="112"/>
      <c r="D76" s="112"/>
      <c r="E76" s="112"/>
      <c r="F76" s="112"/>
      <c r="G76" s="112"/>
      <c r="H76" s="112"/>
    </row>
    <row r="77" spans="1:8" x14ac:dyDescent="0.2">
      <c r="A77" s="5" t="s">
        <v>1040</v>
      </c>
      <c r="B77" s="74">
        <v>0.01</v>
      </c>
      <c r="C77" s="74">
        <v>1.4999999999999999E-2</v>
      </c>
      <c r="D77" s="74">
        <v>0.02</v>
      </c>
      <c r="E77" s="74">
        <v>2.5000000000000001E-2</v>
      </c>
      <c r="F77" s="74">
        <v>0.03</v>
      </c>
      <c r="G77" s="74">
        <v>0.04</v>
      </c>
      <c r="H77" s="74">
        <v>0.05</v>
      </c>
    </row>
    <row r="78" spans="1:8" x14ac:dyDescent="0.2">
      <c r="A78" s="150">
        <v>200000</v>
      </c>
      <c r="B78" s="17">
        <f>8*200000*0.3*0.01*0.4*0.05</f>
        <v>96</v>
      </c>
      <c r="C78" s="17">
        <f>8*200000*0.3*0.015*0.4*0.05</f>
        <v>144</v>
      </c>
      <c r="D78" s="17">
        <f>8*200000*0.3*0.02*0.4*0.05</f>
        <v>192</v>
      </c>
      <c r="E78" s="17">
        <f>8*200000*0.3*0.025*0.4*0.05</f>
        <v>240</v>
      </c>
      <c r="F78" s="17">
        <f>8*200000*0.3*0.03*0.4*0.05</f>
        <v>288</v>
      </c>
      <c r="G78" s="17">
        <f>8*200000*0.3*0.04*0.4*0.05</f>
        <v>384</v>
      </c>
      <c r="H78" s="17">
        <f>8*200000*0.3*0.05*0.4*0.05</f>
        <v>480</v>
      </c>
    </row>
    <row r="79" spans="1:8" x14ac:dyDescent="0.2">
      <c r="A79" s="150">
        <v>300000</v>
      </c>
      <c r="B79" s="17">
        <f>8*300000*0.3*0.01*0.4*0.05</f>
        <v>144</v>
      </c>
      <c r="C79" s="17">
        <f>8*300000*0.3*0.015*0.4*0.05</f>
        <v>216</v>
      </c>
      <c r="D79" s="17">
        <f>8*300000*0.3*0.02*0.4*0.05</f>
        <v>288</v>
      </c>
      <c r="E79" s="17">
        <f>8*300000*0.3*0.025*0.4*0.05</f>
        <v>360</v>
      </c>
      <c r="F79" s="17">
        <f>8*300000*0.3*0.03*0.4*0.05</f>
        <v>432</v>
      </c>
      <c r="G79" s="17">
        <f>8*300000*0.3*0.04*0.4*0.05</f>
        <v>576</v>
      </c>
      <c r="H79" s="17">
        <f>8*300000*0.3*0.05*0.4*0.05</f>
        <v>720</v>
      </c>
    </row>
    <row r="80" spans="1:8" x14ac:dyDescent="0.2">
      <c r="A80" s="150">
        <v>400000</v>
      </c>
      <c r="B80" s="17">
        <f>8*400000*0.3*0.01*0.4*0.05</f>
        <v>192</v>
      </c>
      <c r="C80" s="17">
        <f>8*400000*0.3*0.015*0.4*0.05</f>
        <v>288</v>
      </c>
      <c r="D80" s="17">
        <f>8*400000*0.3*0.02*0.4*0.05</f>
        <v>384</v>
      </c>
      <c r="E80" s="17">
        <f>8*400000*0.3*0.025*0.4*0.05</f>
        <v>480</v>
      </c>
      <c r="F80" s="17">
        <f>8*400000*0.3*0.03*0.4*0.05</f>
        <v>576</v>
      </c>
      <c r="G80" s="17">
        <f>8*400000*0.3*0.04*0.4*0.05</f>
        <v>768</v>
      </c>
      <c r="H80" s="17">
        <f>8*400000*0.3*0.05*0.4*0.05</f>
        <v>960</v>
      </c>
    </row>
    <row r="81" spans="1:8" x14ac:dyDescent="0.2">
      <c r="A81" s="150">
        <v>500000</v>
      </c>
      <c r="B81" s="17">
        <f>8*500000*0.3*0.01*0.4*0.05</f>
        <v>240</v>
      </c>
      <c r="C81" s="17">
        <f>8*500000*0.3*0.015*0.4*0.05</f>
        <v>360</v>
      </c>
      <c r="D81" s="166">
        <f>8*500000*0.3*0.02*0.4*0.05</f>
        <v>480</v>
      </c>
      <c r="E81" s="17">
        <f>8*500000*0.3*0.025*0.4*0.05</f>
        <v>600</v>
      </c>
      <c r="F81" s="17">
        <f>8*500000*0.3*0.03*0.4*0.05</f>
        <v>720</v>
      </c>
      <c r="G81" s="17">
        <f>8*500000*0.3*0.04*0.4*0.05</f>
        <v>960</v>
      </c>
      <c r="H81" s="17">
        <f>8*500000*0.3*0.05*0.4*0.05</f>
        <v>1200</v>
      </c>
    </row>
    <row r="82" spans="1:8" x14ac:dyDescent="0.2">
      <c r="A82" s="150">
        <v>600000</v>
      </c>
      <c r="B82" s="17">
        <f>8*600000*0.3*0.01*0.4*0.05</f>
        <v>288</v>
      </c>
      <c r="C82" s="17">
        <f>8*600000*0.3*0.015*0.4*0.05</f>
        <v>432</v>
      </c>
      <c r="D82" s="17">
        <f>8*600000*0.3*0.02*0.4*0.05</f>
        <v>576</v>
      </c>
      <c r="E82" s="17">
        <f>8*600000*0.3*0.025*0.4*0.05</f>
        <v>720</v>
      </c>
      <c r="F82" s="17">
        <f>8*600000*0.3*0.03*0.4*0.05</f>
        <v>864</v>
      </c>
      <c r="G82" s="17">
        <f>8*600000*0.3*0.04*0.4*0.05</f>
        <v>1152</v>
      </c>
      <c r="H82" s="17">
        <f>8*600000*0.3*0.05*0.4*0.05</f>
        <v>1440</v>
      </c>
    </row>
    <row r="83" spans="1:8" x14ac:dyDescent="0.2">
      <c r="A83" s="150">
        <v>750000</v>
      </c>
      <c r="B83" s="17">
        <f>8*750000*0.3*0.01*0.4*0.05</f>
        <v>360</v>
      </c>
      <c r="C83" s="17">
        <f>8*750000*0.3*0.015*0.4*0.05</f>
        <v>540</v>
      </c>
      <c r="D83" s="17">
        <f>8*750000*0.3*0.02*0.4*0.05</f>
        <v>720</v>
      </c>
      <c r="E83" s="17">
        <f>8*750000*0.3*0.025*0.4*0.05</f>
        <v>900</v>
      </c>
      <c r="F83" s="17">
        <f>8*750000*0.3*0.03*0.4*0.05</f>
        <v>1080</v>
      </c>
      <c r="G83" s="17">
        <f>8*750000*0.3*0.04*0.4*0.05</f>
        <v>1440</v>
      </c>
      <c r="H83" s="17">
        <f>8*750000*0.3*0.05*0.4*0.05</f>
        <v>1800</v>
      </c>
    </row>
    <row r="84" spans="1:8" x14ac:dyDescent="0.2">
      <c r="A84" s="150">
        <v>1000000</v>
      </c>
      <c r="B84" s="17">
        <f>8*1000000*0.3*0.01*0.4*0.05</f>
        <v>480</v>
      </c>
      <c r="C84" s="17">
        <f>8*1000000*0.3*0.015*0.4*0.05</f>
        <v>720</v>
      </c>
      <c r="D84" s="17">
        <f>8*1000000*0.3*0.02*0.4*0.05</f>
        <v>960</v>
      </c>
      <c r="E84" s="17">
        <f>8*1000000*0.3*0.025*0.4*0.05</f>
        <v>1200</v>
      </c>
      <c r="F84" s="17">
        <f>8*1000000*0.3*0.03*0.4*0.05</f>
        <v>1440</v>
      </c>
      <c r="G84" s="17">
        <f>8*1000000*0.3*0.04*0.4*0.05</f>
        <v>1920</v>
      </c>
      <c r="H84" s="17">
        <f>8*1000000*0.3*0.05*0.4*0.05</f>
        <v>2400</v>
      </c>
    </row>
  </sheetData>
  <mergeCells count="1">
    <mergeCell ref="A1:H1"/>
  </mergeCells>
  <conditionalFormatting sqref="B5:H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H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H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:H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8:H5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8:H6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8:H7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8:H8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8DD9-6286-9348-B819-A2CEE6F8FED3}">
  <sheetPr>
    <tabColor rgb="FFFF0000"/>
  </sheetPr>
  <dimension ref="A1:H58"/>
  <sheetViews>
    <sheetView workbookViewId="0">
      <selection sqref="A1:K1"/>
    </sheetView>
  </sheetViews>
  <sheetFormatPr baseColWidth="10" defaultRowHeight="16" x14ac:dyDescent="0.2"/>
  <cols>
    <col min="1" max="1" width="23.33203125" customWidth="1"/>
    <col min="2" max="2" width="33.33203125" customWidth="1"/>
    <col min="3" max="4" width="13.33203125" customWidth="1"/>
    <col min="5" max="5" width="26.6640625" customWidth="1"/>
    <col min="6" max="7" width="33.33203125" customWidth="1"/>
    <col min="8" max="8" width="20" customWidth="1"/>
  </cols>
  <sheetData>
    <row r="1" spans="1:8" ht="19" x14ac:dyDescent="0.25">
      <c r="A1" s="1" t="s">
        <v>609</v>
      </c>
      <c r="B1" s="12"/>
      <c r="C1" s="12"/>
      <c r="D1" s="12"/>
      <c r="E1" s="12"/>
      <c r="F1" s="12"/>
      <c r="G1" s="12"/>
      <c r="H1" s="12"/>
    </row>
    <row r="2" spans="1:8" x14ac:dyDescent="0.2">
      <c r="A2" s="117" t="s">
        <v>610</v>
      </c>
      <c r="B2" s="117" t="s">
        <v>611</v>
      </c>
      <c r="C2" s="117" t="s">
        <v>612</v>
      </c>
      <c r="D2" s="117" t="s">
        <v>613</v>
      </c>
      <c r="E2" s="117" t="s">
        <v>614</v>
      </c>
      <c r="F2" s="117" t="s">
        <v>615</v>
      </c>
      <c r="G2" s="117" t="s">
        <v>616</v>
      </c>
      <c r="H2" s="117" t="s">
        <v>617</v>
      </c>
    </row>
    <row r="3" spans="1:8" ht="65" customHeight="1" x14ac:dyDescent="0.2">
      <c r="A3" s="118" t="s">
        <v>618</v>
      </c>
      <c r="B3" s="118" t="s">
        <v>619</v>
      </c>
      <c r="C3" s="119" t="s">
        <v>620</v>
      </c>
      <c r="D3" s="120" t="s">
        <v>621</v>
      </c>
      <c r="E3" s="118" t="s">
        <v>622</v>
      </c>
      <c r="F3" s="118" t="s">
        <v>623</v>
      </c>
      <c r="G3" s="118" t="s">
        <v>624</v>
      </c>
      <c r="H3" s="118" t="s">
        <v>625</v>
      </c>
    </row>
    <row r="4" spans="1:8" ht="65" customHeight="1" x14ac:dyDescent="0.2">
      <c r="A4" s="118" t="s">
        <v>618</v>
      </c>
      <c r="B4" s="118" t="s">
        <v>626</v>
      </c>
      <c r="C4" s="119" t="s">
        <v>620</v>
      </c>
      <c r="D4" s="120" t="s">
        <v>621</v>
      </c>
      <c r="E4" s="118" t="s">
        <v>627</v>
      </c>
      <c r="F4" s="118" t="s">
        <v>628</v>
      </c>
      <c r="G4" s="118" t="s">
        <v>629</v>
      </c>
      <c r="H4" s="118" t="s">
        <v>630</v>
      </c>
    </row>
    <row r="5" spans="1:8" ht="65" customHeight="1" x14ac:dyDescent="0.2">
      <c r="A5" s="118" t="s">
        <v>618</v>
      </c>
      <c r="B5" s="118" t="s">
        <v>631</v>
      </c>
      <c r="C5" s="121" t="s">
        <v>632</v>
      </c>
      <c r="D5" s="120" t="s">
        <v>621</v>
      </c>
      <c r="E5" s="118" t="s">
        <v>633</v>
      </c>
      <c r="F5" s="118" t="s">
        <v>634</v>
      </c>
      <c r="G5" s="118" t="s">
        <v>635</v>
      </c>
      <c r="H5" s="118" t="s">
        <v>636</v>
      </c>
    </row>
    <row r="6" spans="1:8" ht="65" customHeight="1" x14ac:dyDescent="0.2">
      <c r="A6" s="118" t="s">
        <v>637</v>
      </c>
      <c r="B6" s="118" t="s">
        <v>638</v>
      </c>
      <c r="C6" s="119" t="s">
        <v>620</v>
      </c>
      <c r="D6" s="120" t="s">
        <v>621</v>
      </c>
      <c r="E6" s="118" t="s">
        <v>639</v>
      </c>
      <c r="F6" s="118" t="s">
        <v>640</v>
      </c>
      <c r="G6" s="118" t="s">
        <v>641</v>
      </c>
      <c r="H6" s="118" t="s">
        <v>642</v>
      </c>
    </row>
    <row r="7" spans="1:8" ht="65" customHeight="1" x14ac:dyDescent="0.2">
      <c r="A7" s="118" t="s">
        <v>637</v>
      </c>
      <c r="B7" s="118" t="s">
        <v>643</v>
      </c>
      <c r="C7" s="120" t="s">
        <v>621</v>
      </c>
      <c r="D7" s="119" t="s">
        <v>620</v>
      </c>
      <c r="E7" s="118" t="s">
        <v>644</v>
      </c>
      <c r="F7" s="118" t="s">
        <v>645</v>
      </c>
      <c r="G7" s="118" t="s">
        <v>646</v>
      </c>
      <c r="H7" s="118" t="s">
        <v>625</v>
      </c>
    </row>
    <row r="8" spans="1:8" ht="65" customHeight="1" x14ac:dyDescent="0.2">
      <c r="A8" s="118" t="s">
        <v>647</v>
      </c>
      <c r="B8" s="118" t="s">
        <v>648</v>
      </c>
      <c r="C8" s="119" t="s">
        <v>620</v>
      </c>
      <c r="D8" s="119" t="s">
        <v>620</v>
      </c>
      <c r="E8" s="118" t="s">
        <v>649</v>
      </c>
      <c r="F8" s="118" t="s">
        <v>650</v>
      </c>
      <c r="G8" s="118" t="s">
        <v>651</v>
      </c>
      <c r="H8" s="118" t="s">
        <v>652</v>
      </c>
    </row>
    <row r="9" spans="1:8" ht="65" customHeight="1" x14ac:dyDescent="0.2">
      <c r="A9" s="118" t="s">
        <v>647</v>
      </c>
      <c r="B9" s="118" t="s">
        <v>653</v>
      </c>
      <c r="C9" s="121" t="s">
        <v>632</v>
      </c>
      <c r="D9" s="120" t="s">
        <v>621</v>
      </c>
      <c r="E9" s="118" t="s">
        <v>654</v>
      </c>
      <c r="F9" s="118" t="s">
        <v>655</v>
      </c>
      <c r="G9" s="118" t="s">
        <v>656</v>
      </c>
      <c r="H9" s="118" t="s">
        <v>657</v>
      </c>
    </row>
    <row r="10" spans="1:8" ht="65" customHeight="1" x14ac:dyDescent="0.2">
      <c r="A10" s="118" t="s">
        <v>647</v>
      </c>
      <c r="B10" s="118" t="s">
        <v>658</v>
      </c>
      <c r="C10" s="119" t="s">
        <v>620</v>
      </c>
      <c r="D10" s="119" t="s">
        <v>620</v>
      </c>
      <c r="E10" s="118" t="s">
        <v>659</v>
      </c>
      <c r="F10" s="118" t="s">
        <v>660</v>
      </c>
      <c r="G10" s="118" t="s">
        <v>661</v>
      </c>
      <c r="H10" s="118" t="s">
        <v>662</v>
      </c>
    </row>
    <row r="11" spans="1:8" ht="65" customHeight="1" x14ac:dyDescent="0.2">
      <c r="A11" s="118" t="s">
        <v>663</v>
      </c>
      <c r="B11" s="118" t="s">
        <v>664</v>
      </c>
      <c r="C11" s="119" t="s">
        <v>620</v>
      </c>
      <c r="D11" s="120" t="s">
        <v>621</v>
      </c>
      <c r="E11" s="118" t="s">
        <v>665</v>
      </c>
      <c r="F11" s="118" t="s">
        <v>666</v>
      </c>
      <c r="G11" s="118" t="s">
        <v>667</v>
      </c>
      <c r="H11" s="118" t="s">
        <v>625</v>
      </c>
    </row>
    <row r="12" spans="1:8" ht="65" customHeight="1" x14ac:dyDescent="0.2">
      <c r="A12" s="118" t="s">
        <v>663</v>
      </c>
      <c r="B12" s="118" t="s">
        <v>668</v>
      </c>
      <c r="C12" s="119" t="s">
        <v>620</v>
      </c>
      <c r="D12" s="119" t="s">
        <v>620</v>
      </c>
      <c r="E12" s="118" t="s">
        <v>669</v>
      </c>
      <c r="F12" s="118" t="s">
        <v>670</v>
      </c>
      <c r="G12" s="118" t="s">
        <v>671</v>
      </c>
      <c r="H12" s="118" t="s">
        <v>672</v>
      </c>
    </row>
    <row r="13" spans="1:8" ht="65" customHeight="1" x14ac:dyDescent="0.2">
      <c r="A13" s="118" t="s">
        <v>663</v>
      </c>
      <c r="B13" s="118" t="s">
        <v>673</v>
      </c>
      <c r="C13" s="119" t="s">
        <v>620</v>
      </c>
      <c r="D13" s="119" t="s">
        <v>620</v>
      </c>
      <c r="E13" s="118" t="s">
        <v>674</v>
      </c>
      <c r="F13" s="118" t="s">
        <v>675</v>
      </c>
      <c r="G13" s="118" t="s">
        <v>676</v>
      </c>
      <c r="H13" s="118" t="s">
        <v>642</v>
      </c>
    </row>
    <row r="14" spans="1:8" ht="65" customHeight="1" x14ac:dyDescent="0.2">
      <c r="A14" s="118" t="s">
        <v>663</v>
      </c>
      <c r="B14" s="118" t="s">
        <v>677</v>
      </c>
      <c r="C14" s="120" t="s">
        <v>621</v>
      </c>
      <c r="D14" s="119" t="s">
        <v>620</v>
      </c>
      <c r="E14" s="118" t="s">
        <v>678</v>
      </c>
      <c r="F14" s="118" t="s">
        <v>679</v>
      </c>
      <c r="G14" s="118" t="s">
        <v>680</v>
      </c>
      <c r="H14" s="118" t="s">
        <v>681</v>
      </c>
    </row>
    <row r="15" spans="1:8" ht="65" customHeight="1" x14ac:dyDescent="0.2">
      <c r="A15" s="118" t="s">
        <v>682</v>
      </c>
      <c r="B15" s="118" t="s">
        <v>683</v>
      </c>
      <c r="C15" s="119" t="s">
        <v>620</v>
      </c>
      <c r="D15" s="120" t="s">
        <v>621</v>
      </c>
      <c r="E15" s="118" t="s">
        <v>684</v>
      </c>
      <c r="F15" s="118" t="s">
        <v>685</v>
      </c>
      <c r="G15" s="118" t="s">
        <v>686</v>
      </c>
      <c r="H15" s="118" t="s">
        <v>630</v>
      </c>
    </row>
    <row r="16" spans="1:8" ht="65" customHeight="1" x14ac:dyDescent="0.2">
      <c r="A16" s="118" t="s">
        <v>682</v>
      </c>
      <c r="B16" s="118" t="s">
        <v>687</v>
      </c>
      <c r="C16" s="119" t="s">
        <v>620</v>
      </c>
      <c r="D16" s="119" t="s">
        <v>620</v>
      </c>
      <c r="E16" s="118" t="s">
        <v>688</v>
      </c>
      <c r="F16" s="118" t="s">
        <v>689</v>
      </c>
      <c r="G16" s="118" t="s">
        <v>690</v>
      </c>
      <c r="H16" s="118" t="s">
        <v>630</v>
      </c>
    </row>
    <row r="17" spans="1:8" ht="65" customHeight="1" x14ac:dyDescent="0.2">
      <c r="A17" s="118" t="s">
        <v>691</v>
      </c>
      <c r="B17" s="118" t="s">
        <v>692</v>
      </c>
      <c r="C17" s="119" t="s">
        <v>620</v>
      </c>
      <c r="D17" s="120" t="s">
        <v>621</v>
      </c>
      <c r="E17" s="118" t="s">
        <v>693</v>
      </c>
      <c r="F17" s="118" t="s">
        <v>694</v>
      </c>
      <c r="G17" s="118" t="s">
        <v>695</v>
      </c>
      <c r="H17" s="118" t="s">
        <v>636</v>
      </c>
    </row>
    <row r="18" spans="1:8" ht="65" customHeight="1" x14ac:dyDescent="0.2">
      <c r="A18" s="118" t="s">
        <v>691</v>
      </c>
      <c r="B18" s="118" t="s">
        <v>696</v>
      </c>
      <c r="C18" s="121" t="s">
        <v>632</v>
      </c>
      <c r="D18" s="119" t="s">
        <v>620</v>
      </c>
      <c r="E18" s="118" t="s">
        <v>697</v>
      </c>
      <c r="F18" s="118" t="s">
        <v>698</v>
      </c>
      <c r="G18" s="118" t="s">
        <v>699</v>
      </c>
      <c r="H18" s="118" t="s">
        <v>642</v>
      </c>
    </row>
    <row r="19" spans="1:8" ht="65" customHeight="1" x14ac:dyDescent="0.2">
      <c r="A19" s="118" t="s">
        <v>369</v>
      </c>
      <c r="B19" s="118" t="s">
        <v>700</v>
      </c>
      <c r="C19" s="121" t="s">
        <v>632</v>
      </c>
      <c r="D19" s="120" t="s">
        <v>621</v>
      </c>
      <c r="E19" s="118" t="s">
        <v>701</v>
      </c>
      <c r="F19" s="118" t="s">
        <v>702</v>
      </c>
      <c r="G19" s="118" t="s">
        <v>703</v>
      </c>
      <c r="H19" s="118" t="s">
        <v>704</v>
      </c>
    </row>
    <row r="20" spans="1:8" ht="65" customHeight="1" x14ac:dyDescent="0.2">
      <c r="A20" s="118" t="s">
        <v>369</v>
      </c>
      <c r="B20" s="118" t="s">
        <v>705</v>
      </c>
      <c r="C20" s="121" t="s">
        <v>632</v>
      </c>
      <c r="D20" s="120" t="s">
        <v>621</v>
      </c>
      <c r="E20" s="118" t="s">
        <v>706</v>
      </c>
      <c r="F20" s="118" t="s">
        <v>707</v>
      </c>
      <c r="G20" s="118" t="s">
        <v>708</v>
      </c>
      <c r="H20" s="118" t="s">
        <v>709</v>
      </c>
    </row>
    <row r="23" spans="1:8" x14ac:dyDescent="0.2">
      <c r="A23" s="47" t="s">
        <v>710</v>
      </c>
      <c r="B23" s="30"/>
      <c r="C23" s="30"/>
      <c r="D23" s="30"/>
      <c r="E23" s="30"/>
      <c r="F23" s="30"/>
      <c r="G23" s="30"/>
      <c r="H23" s="30"/>
    </row>
    <row r="24" spans="1:8" x14ac:dyDescent="0.2">
      <c r="A24" s="35" t="s">
        <v>711</v>
      </c>
      <c r="B24" s="35" t="s">
        <v>712</v>
      </c>
      <c r="C24" s="35" t="s">
        <v>713</v>
      </c>
    </row>
    <row r="25" spans="1:8" x14ac:dyDescent="0.2">
      <c r="A25" t="s">
        <v>714</v>
      </c>
      <c r="B25" s="76">
        <v>0.4</v>
      </c>
      <c r="C25" t="s">
        <v>715</v>
      </c>
    </row>
    <row r="26" spans="1:8" x14ac:dyDescent="0.2">
      <c r="A26" t="s">
        <v>716</v>
      </c>
      <c r="B26" s="76">
        <v>0.2</v>
      </c>
      <c r="C26" t="s">
        <v>717</v>
      </c>
    </row>
    <row r="27" spans="1:8" x14ac:dyDescent="0.2">
      <c r="A27" t="s">
        <v>718</v>
      </c>
      <c r="B27" s="83">
        <v>50</v>
      </c>
      <c r="C27" t="s">
        <v>719</v>
      </c>
    </row>
    <row r="28" spans="1:8" x14ac:dyDescent="0.2">
      <c r="A28" t="s">
        <v>720</v>
      </c>
      <c r="B28" s="83">
        <v>75</v>
      </c>
      <c r="C28" t="s">
        <v>721</v>
      </c>
    </row>
    <row r="29" spans="1:8" x14ac:dyDescent="0.2">
      <c r="A29" t="s">
        <v>722</v>
      </c>
      <c r="B29" s="83">
        <v>4000</v>
      </c>
      <c r="C29" t="s">
        <v>723</v>
      </c>
    </row>
    <row r="30" spans="1:8" x14ac:dyDescent="0.2">
      <c r="A30" t="s">
        <v>724</v>
      </c>
      <c r="B30" t="s">
        <v>725</v>
      </c>
      <c r="C30" t="s">
        <v>726</v>
      </c>
    </row>
    <row r="31" spans="1:8" x14ac:dyDescent="0.2">
      <c r="A31" t="s">
        <v>727</v>
      </c>
      <c r="B31" s="76">
        <v>0.2</v>
      </c>
      <c r="C31" t="s">
        <v>728</v>
      </c>
    </row>
    <row r="32" spans="1:8" x14ac:dyDescent="0.2">
      <c r="A32" t="s">
        <v>729</v>
      </c>
      <c r="B32" t="s">
        <v>730</v>
      </c>
      <c r="C32" t="s">
        <v>731</v>
      </c>
    </row>
    <row r="33" spans="1:8" x14ac:dyDescent="0.2">
      <c r="A33" t="s">
        <v>732</v>
      </c>
      <c r="B33" t="s">
        <v>733</v>
      </c>
      <c r="C33" t="s">
        <v>734</v>
      </c>
    </row>
    <row r="34" spans="1:8" x14ac:dyDescent="0.2">
      <c r="A34" t="s">
        <v>735</v>
      </c>
      <c r="B34" t="s">
        <v>736</v>
      </c>
      <c r="C34" t="s">
        <v>737</v>
      </c>
    </row>
    <row r="38" spans="1:8" x14ac:dyDescent="0.2">
      <c r="A38" s="148" t="s">
        <v>1006</v>
      </c>
      <c r="B38" s="149"/>
      <c r="C38" s="149"/>
      <c r="D38" s="149"/>
      <c r="E38" s="149"/>
      <c r="F38" s="149"/>
      <c r="G38" s="149"/>
      <c r="H38" s="149"/>
    </row>
    <row r="39" spans="1:8" x14ac:dyDescent="0.2">
      <c r="A39" s="35" t="s">
        <v>610</v>
      </c>
      <c r="B39" s="35" t="s">
        <v>1007</v>
      </c>
      <c r="C39" s="35" t="s">
        <v>1008</v>
      </c>
      <c r="D39" s="35" t="s">
        <v>867</v>
      </c>
      <c r="E39" s="35" t="s">
        <v>1009</v>
      </c>
      <c r="F39" s="35" t="s">
        <v>1010</v>
      </c>
      <c r="G39" s="35" t="s">
        <v>1011</v>
      </c>
    </row>
    <row r="40" spans="1:8" x14ac:dyDescent="0.2">
      <c r="A40" t="s">
        <v>1012</v>
      </c>
      <c r="B40" s="8">
        <v>3</v>
      </c>
      <c r="C40" s="8">
        <v>5</v>
      </c>
      <c r="D40">
        <f>B40*C40</f>
        <v>15</v>
      </c>
      <c r="E40" t="str">
        <f>IF(D40&gt;=15,"CRITICAL",IF(D40&gt;=10,"HIGH",IF(D40&gt;=6,"MEDIUM","LOW")))</f>
        <v>CRITICAL</v>
      </c>
      <c r="F40" s="11">
        <v>500000</v>
      </c>
      <c r="G40">
        <f>RANK(D40,D$40:D$55)</f>
        <v>1</v>
      </c>
    </row>
    <row r="41" spans="1:8" x14ac:dyDescent="0.2">
      <c r="A41" t="s">
        <v>1013</v>
      </c>
      <c r="B41" s="8">
        <v>3</v>
      </c>
      <c r="C41" s="8">
        <v>4</v>
      </c>
      <c r="D41">
        <f>B41*C41</f>
        <v>12</v>
      </c>
      <c r="E41" t="str">
        <f>IF(D41&gt;=15,"CRITICAL",IF(D41&gt;=10,"HIGH",IF(D41&gt;=6,"MEDIUM","LOW")))</f>
        <v>HIGH</v>
      </c>
      <c r="F41" s="11">
        <v>300000</v>
      </c>
      <c r="G41">
        <f>RANK(D41,D$40:D$55)</f>
        <v>2</v>
      </c>
    </row>
    <row r="42" spans="1:8" x14ac:dyDescent="0.2">
      <c r="A42" t="s">
        <v>1014</v>
      </c>
      <c r="B42" s="8">
        <v>2</v>
      </c>
      <c r="C42" s="8">
        <v>5</v>
      </c>
      <c r="D42">
        <f>B42*C42</f>
        <v>10</v>
      </c>
      <c r="E42" t="str">
        <f>IF(D42&gt;=15,"CRITICAL",IF(D42&gt;=10,"HIGH",IF(D42&gt;=6,"MEDIUM","LOW")))</f>
        <v>HIGH</v>
      </c>
      <c r="F42" s="11">
        <v>400000</v>
      </c>
      <c r="G42">
        <f>RANK(D42,D$40:D$55)</f>
        <v>9</v>
      </c>
    </row>
    <row r="43" spans="1:8" x14ac:dyDescent="0.2">
      <c r="A43" t="s">
        <v>1015</v>
      </c>
      <c r="B43" s="8">
        <v>4</v>
      </c>
      <c r="C43" s="8">
        <v>3</v>
      </c>
      <c r="D43">
        <f>B43*C43</f>
        <v>12</v>
      </c>
      <c r="E43" t="str">
        <f>IF(D43&gt;=15,"CRITICAL",IF(D43&gt;=10,"HIGH",IF(D43&gt;=6,"MEDIUM","LOW")))</f>
        <v>HIGH</v>
      </c>
      <c r="F43" s="11">
        <v>200000</v>
      </c>
      <c r="G43">
        <f>RANK(D43,D$40:D$55)</f>
        <v>2</v>
      </c>
    </row>
    <row r="44" spans="1:8" x14ac:dyDescent="0.2">
      <c r="A44" t="s">
        <v>1016</v>
      </c>
      <c r="B44" s="8">
        <v>3</v>
      </c>
      <c r="C44" s="8">
        <v>4</v>
      </c>
      <c r="D44">
        <f>B44*C44</f>
        <v>12</v>
      </c>
      <c r="E44" t="str">
        <f>IF(D44&gt;=15,"CRITICAL",IF(D44&gt;=10,"HIGH",IF(D44&gt;=6,"MEDIUM","LOW")))</f>
        <v>HIGH</v>
      </c>
      <c r="F44" s="11">
        <v>250000</v>
      </c>
      <c r="G44">
        <f>RANK(D44,D$40:D$55)</f>
        <v>2</v>
      </c>
    </row>
    <row r="45" spans="1:8" x14ac:dyDescent="0.2">
      <c r="A45" t="s">
        <v>1017</v>
      </c>
      <c r="B45" s="8">
        <v>3</v>
      </c>
      <c r="C45" s="8">
        <v>3</v>
      </c>
      <c r="D45">
        <f>B45*C45</f>
        <v>9</v>
      </c>
      <c r="E45" t="str">
        <f>IF(D45&gt;=15,"CRITICAL",IF(D45&gt;=10,"HIGH",IF(D45&gt;=6,"MEDIUM","LOW")))</f>
        <v>MEDIUM</v>
      </c>
      <c r="F45" s="11">
        <v>100000</v>
      </c>
      <c r="G45">
        <f>RANK(D45,D$40:D$55)</f>
        <v>11</v>
      </c>
    </row>
    <row r="46" spans="1:8" x14ac:dyDescent="0.2">
      <c r="A46" t="s">
        <v>1018</v>
      </c>
      <c r="B46" s="8">
        <v>2</v>
      </c>
      <c r="C46" s="8">
        <v>4</v>
      </c>
      <c r="D46">
        <f>B46*C46</f>
        <v>8</v>
      </c>
      <c r="E46" t="str">
        <f>IF(D46&gt;=15,"CRITICAL",IF(D46&gt;=10,"HIGH",IF(D46&gt;=6,"MEDIUM","LOW")))</f>
        <v>MEDIUM</v>
      </c>
      <c r="F46" s="11">
        <v>350000</v>
      </c>
      <c r="G46">
        <f>RANK(D46,D$40:D$55)</f>
        <v>14</v>
      </c>
    </row>
    <row r="47" spans="1:8" x14ac:dyDescent="0.2">
      <c r="A47" t="s">
        <v>1019</v>
      </c>
      <c r="B47" s="8">
        <v>3</v>
      </c>
      <c r="C47" s="8">
        <v>2</v>
      </c>
      <c r="D47">
        <f>B47*C47</f>
        <v>6</v>
      </c>
      <c r="E47" t="str">
        <f>IF(D47&gt;=15,"CRITICAL",IF(D47&gt;=10,"HIGH",IF(D47&gt;=6,"MEDIUM","LOW")))</f>
        <v>MEDIUM</v>
      </c>
      <c r="F47" s="11">
        <v>80000</v>
      </c>
      <c r="G47">
        <f>RANK(D47,D$40:D$55)</f>
        <v>15</v>
      </c>
    </row>
    <row r="48" spans="1:8" x14ac:dyDescent="0.2">
      <c r="A48" t="s">
        <v>1020</v>
      </c>
      <c r="B48" s="8">
        <v>3</v>
      </c>
      <c r="C48" s="8">
        <v>4</v>
      </c>
      <c r="D48">
        <f>B48*C48</f>
        <v>12</v>
      </c>
      <c r="E48" t="str">
        <f>IF(D48&gt;=15,"CRITICAL",IF(D48&gt;=10,"HIGH",IF(D48&gt;=6,"MEDIUM","LOW")))</f>
        <v>HIGH</v>
      </c>
      <c r="F48" s="11">
        <v>400000</v>
      </c>
      <c r="G48">
        <f>RANK(D48,D$40:D$55)</f>
        <v>2</v>
      </c>
    </row>
    <row r="49" spans="1:7" x14ac:dyDescent="0.2">
      <c r="A49" t="s">
        <v>1021</v>
      </c>
      <c r="B49" s="8">
        <v>3</v>
      </c>
      <c r="C49" s="8">
        <v>3</v>
      </c>
      <c r="D49">
        <f>B49*C49</f>
        <v>9</v>
      </c>
      <c r="E49" t="str">
        <f>IF(D49&gt;=15,"CRITICAL",IF(D49&gt;=10,"HIGH",IF(D49&gt;=6,"MEDIUM","LOW")))</f>
        <v>MEDIUM</v>
      </c>
      <c r="F49" s="11">
        <v>300000</v>
      </c>
      <c r="G49">
        <f>RANK(D49,D$40:D$55)</f>
        <v>11</v>
      </c>
    </row>
    <row r="50" spans="1:7" x14ac:dyDescent="0.2">
      <c r="A50" t="s">
        <v>1022</v>
      </c>
      <c r="B50" s="8">
        <v>3</v>
      </c>
      <c r="C50" s="8">
        <v>3</v>
      </c>
      <c r="D50">
        <f>B50*C50</f>
        <v>9</v>
      </c>
      <c r="E50" t="str">
        <f>IF(D50&gt;=15,"CRITICAL",IF(D50&gt;=10,"HIGH",IF(D50&gt;=6,"MEDIUM","LOW")))</f>
        <v>MEDIUM</v>
      </c>
      <c r="F50" s="11">
        <v>150000</v>
      </c>
      <c r="G50">
        <f>RANK(D50,D$40:D$55)</f>
        <v>11</v>
      </c>
    </row>
    <row r="51" spans="1:7" x14ac:dyDescent="0.2">
      <c r="A51" t="s">
        <v>1023</v>
      </c>
      <c r="B51" s="8">
        <v>4</v>
      </c>
      <c r="C51" s="8">
        <v>3</v>
      </c>
      <c r="D51">
        <f>B51*C51</f>
        <v>12</v>
      </c>
      <c r="E51" t="str">
        <f>IF(D51&gt;=15,"CRITICAL",IF(D51&gt;=10,"HIGH",IF(D51&gt;=6,"MEDIUM","LOW")))</f>
        <v>HIGH</v>
      </c>
      <c r="F51" s="11">
        <v>250000</v>
      </c>
      <c r="G51">
        <f>RANK(D51,D$40:D$55)</f>
        <v>2</v>
      </c>
    </row>
    <row r="52" spans="1:7" x14ac:dyDescent="0.2">
      <c r="A52" t="s">
        <v>1024</v>
      </c>
      <c r="B52" s="8">
        <v>3</v>
      </c>
      <c r="C52" s="8">
        <v>4</v>
      </c>
      <c r="D52">
        <f>B52*C52</f>
        <v>12</v>
      </c>
      <c r="E52" t="str">
        <f>IF(D52&gt;=15,"CRITICAL",IF(D52&gt;=10,"HIGH",IF(D52&gt;=6,"MEDIUM","LOW")))</f>
        <v>HIGH</v>
      </c>
      <c r="F52" s="11">
        <v>200000</v>
      </c>
      <c r="G52">
        <f>RANK(D52,D$40:D$55)</f>
        <v>2</v>
      </c>
    </row>
    <row r="53" spans="1:7" x14ac:dyDescent="0.2">
      <c r="A53" t="s">
        <v>1025</v>
      </c>
      <c r="B53" s="8">
        <v>3</v>
      </c>
      <c r="C53" s="8">
        <v>2</v>
      </c>
      <c r="D53">
        <f>B53*C53</f>
        <v>6</v>
      </c>
      <c r="E53" t="str">
        <f>IF(D53&gt;=15,"CRITICAL",IF(D53&gt;=10,"HIGH",IF(D53&gt;=6,"MEDIUM","LOW")))</f>
        <v>MEDIUM</v>
      </c>
      <c r="F53" s="11">
        <v>75000</v>
      </c>
      <c r="G53">
        <f>RANK(D53,D$40:D$55)</f>
        <v>15</v>
      </c>
    </row>
    <row r="54" spans="1:7" x14ac:dyDescent="0.2">
      <c r="A54" t="s">
        <v>1026</v>
      </c>
      <c r="B54" s="8">
        <v>3</v>
      </c>
      <c r="C54" s="8">
        <v>4</v>
      </c>
      <c r="D54">
        <f>B54*C54</f>
        <v>12</v>
      </c>
      <c r="E54" t="str">
        <f>IF(D54&gt;=15,"CRITICAL",IF(D54&gt;=10,"HIGH",IF(D54&gt;=6,"MEDIUM","LOW")))</f>
        <v>HIGH</v>
      </c>
      <c r="F54" s="11">
        <v>350000</v>
      </c>
      <c r="G54">
        <f>RANK(D54,D$40:D$55)</f>
        <v>2</v>
      </c>
    </row>
    <row r="55" spans="1:7" ht="17" thickBot="1" x14ac:dyDescent="0.25">
      <c r="A55" t="s">
        <v>1027</v>
      </c>
      <c r="B55" s="8">
        <v>2</v>
      </c>
      <c r="C55" s="8">
        <v>5</v>
      </c>
      <c r="D55">
        <f>B55*C55</f>
        <v>10</v>
      </c>
      <c r="E55" t="str">
        <f>IF(D55&gt;=15,"CRITICAL",IF(D55&gt;=10,"HIGH",IF(D55&gt;=6,"MEDIUM","LOW")))</f>
        <v>HIGH</v>
      </c>
      <c r="F55" s="11">
        <v>500000</v>
      </c>
      <c r="G55">
        <f>RANK(D55,D$40:D$55)</f>
        <v>9</v>
      </c>
    </row>
    <row r="56" spans="1:7" ht="17" thickTop="1" x14ac:dyDescent="0.2">
      <c r="A56" s="157" t="s">
        <v>1028</v>
      </c>
      <c r="B56" s="158"/>
      <c r="C56" s="158"/>
      <c r="D56" s="159">
        <f>AVERAGE(D40:D55)</f>
        <v>10.375</v>
      </c>
      <c r="E56" s="158" t="str">
        <f>IF(D56&gt;=15,"CRITICAL",IF(D56&gt;=10,"HIGH",IF(D56&gt;=6,"MEDIUM","LOW")))</f>
        <v>HIGH</v>
      </c>
      <c r="F56" s="160">
        <f>SUM(F40:F55)</f>
        <v>4405000</v>
      </c>
      <c r="G56" s="158" t="e">
        <f>RANK(D56,D$40:D$55)</f>
        <v>#N/A</v>
      </c>
    </row>
    <row r="57" spans="1:7" x14ac:dyDescent="0.2">
      <c r="A57" s="5" t="s">
        <v>1029</v>
      </c>
      <c r="B57" s="5"/>
      <c r="C57" s="5"/>
      <c r="D57" s="5"/>
      <c r="E57" s="5"/>
      <c r="F57" s="20" cm="1">
        <f t="array" ref="F57">SUMPRODUCT(B40:B55/5,F40:F55)</f>
        <v>2483000</v>
      </c>
      <c r="G57" s="5"/>
    </row>
    <row r="58" spans="1:7" x14ac:dyDescent="0.2">
      <c r="A58" t="s">
        <v>1030</v>
      </c>
      <c r="F58" s="19">
        <f>IF('Revenue Build'!F78=0,0,F56/'Revenue Build'!F78)</f>
        <v>1.0663237852078729</v>
      </c>
    </row>
  </sheetData>
  <mergeCells count="3">
    <mergeCell ref="A1:H1"/>
    <mergeCell ref="A23:H23"/>
    <mergeCell ref="A38:H38"/>
  </mergeCells>
  <conditionalFormatting sqref="E40:E56">
    <cfRule type="expression" priority="1"/>
  </conditionalFormatting>
  <conditionalFormatting sqref="E40:E56">
    <cfRule type="expression" priority="2"/>
  </conditionalFormatting>
  <conditionalFormatting sqref="E40:E56">
    <cfRule type="expression" priority="3"/>
  </conditionalFormatting>
  <conditionalFormatting sqref="E40:E56">
    <cfRule type="expression" priority="4"/>
  </conditionalFormatting>
  <conditionalFormatting sqref="D40:D5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BF6B-FF9A-A740-99BB-DC521326EADD}">
  <sheetPr>
    <tabColor rgb="FF1F3864"/>
  </sheetPr>
  <dimension ref="A1:K141"/>
  <sheetViews>
    <sheetView workbookViewId="0">
      <selection sqref="A1:K1"/>
    </sheetView>
  </sheetViews>
  <sheetFormatPr baseColWidth="10" defaultRowHeight="16" x14ac:dyDescent="0.2"/>
  <cols>
    <col min="1" max="1" width="36.6640625" customWidth="1"/>
    <col min="2" max="11" width="15.83203125" customWidth="1"/>
  </cols>
  <sheetData>
    <row r="1" spans="1:11" ht="19" x14ac:dyDescent="0.25">
      <c r="A1" s="1" t="s">
        <v>738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">
      <c r="A2" s="13" t="s">
        <v>739</v>
      </c>
      <c r="B2" s="14" t="s">
        <v>259</v>
      </c>
      <c r="C2" s="14" t="s">
        <v>260</v>
      </c>
      <c r="D2" s="14" t="s">
        <v>261</v>
      </c>
      <c r="E2" s="14" t="s">
        <v>262</v>
      </c>
      <c r="F2" s="14" t="s">
        <v>263</v>
      </c>
      <c r="G2" s="14" t="s">
        <v>264</v>
      </c>
      <c r="H2" s="14" t="s">
        <v>265</v>
      </c>
      <c r="I2" s="14" t="s">
        <v>266</v>
      </c>
      <c r="J2" s="14" t="s">
        <v>267</v>
      </c>
      <c r="K2" s="14" t="s">
        <v>268</v>
      </c>
    </row>
    <row r="3" spans="1:11" x14ac:dyDescent="0.2">
      <c r="A3" s="44" t="s">
        <v>740</v>
      </c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x14ac:dyDescent="0.2">
      <c r="A4" t="s">
        <v>741</v>
      </c>
      <c r="B4" s="17">
        <f>'Revenue Build'!B9</f>
        <v>66.149999999999991</v>
      </c>
      <c r="C4" s="17">
        <f>'Revenue Build'!C9</f>
        <v>110.25</v>
      </c>
      <c r="D4" s="17">
        <f>'Revenue Build'!D9</f>
        <v>176.39999999999998</v>
      </c>
      <c r="E4" s="17">
        <f>'Revenue Build'!E9</f>
        <v>220.5</v>
      </c>
      <c r="F4" s="17">
        <f>'Revenue Build'!F9</f>
        <v>286.64999999999998</v>
      </c>
      <c r="G4" s="17">
        <f>'Revenue Build'!G9</f>
        <v>308.7</v>
      </c>
      <c r="H4" s="17">
        <f>'Revenue Build'!H9</f>
        <v>330.75</v>
      </c>
      <c r="I4" s="17">
        <f>'Revenue Build'!I9</f>
        <v>352.79999999999995</v>
      </c>
      <c r="J4" s="17">
        <f>'Revenue Build'!J9</f>
        <v>361.62</v>
      </c>
      <c r="K4" s="17">
        <f>'Revenue Build'!K9</f>
        <v>374.84999999999997</v>
      </c>
    </row>
    <row r="5" spans="1:11" x14ac:dyDescent="0.2">
      <c r="A5" t="s">
        <v>284</v>
      </c>
      <c r="B5" s="17">
        <f>'Revenue Build'!B23</f>
        <v>10</v>
      </c>
      <c r="C5" s="17">
        <f>'Revenue Build'!C23</f>
        <v>18</v>
      </c>
      <c r="D5" s="17">
        <f>'Revenue Build'!D23</f>
        <v>30</v>
      </c>
      <c r="E5" s="17">
        <f>'Revenue Build'!E23</f>
        <v>38</v>
      </c>
      <c r="F5" s="17">
        <f>'Revenue Build'!F23</f>
        <v>50</v>
      </c>
      <c r="G5" s="17">
        <f>'Revenue Build'!G23</f>
        <v>55</v>
      </c>
      <c r="H5" s="17">
        <f>'Revenue Build'!H23</f>
        <v>60</v>
      </c>
      <c r="I5" s="17">
        <f>'Revenue Build'!I23</f>
        <v>65</v>
      </c>
      <c r="J5" s="17">
        <f>'Revenue Build'!J23</f>
        <v>68</v>
      </c>
      <c r="K5" s="17">
        <f>'Revenue Build'!K23</f>
        <v>70</v>
      </c>
    </row>
    <row r="6" spans="1:11" x14ac:dyDescent="0.2">
      <c r="A6" t="s">
        <v>299</v>
      </c>
      <c r="B6" s="17">
        <f>'Revenue Build'!B41</f>
        <v>2</v>
      </c>
      <c r="C6" s="17">
        <f>'Revenue Build'!C41</f>
        <v>3</v>
      </c>
      <c r="D6" s="17">
        <f>'Revenue Build'!D41</f>
        <v>5</v>
      </c>
      <c r="E6" s="17">
        <f>'Revenue Build'!E41</f>
        <v>6</v>
      </c>
      <c r="F6" s="17">
        <f>'Revenue Build'!F41</f>
        <v>8</v>
      </c>
      <c r="G6" s="17">
        <f>'Revenue Build'!G41</f>
        <v>8</v>
      </c>
      <c r="H6" s="17">
        <f>'Revenue Build'!H41</f>
        <v>8</v>
      </c>
      <c r="I6" s="17">
        <f>'Revenue Build'!I41</f>
        <v>8</v>
      </c>
      <c r="J6" s="17">
        <f>'Revenue Build'!J41</f>
        <v>8</v>
      </c>
      <c r="K6" s="17">
        <f>'Revenue Build'!K41</f>
        <v>8</v>
      </c>
    </row>
    <row r="7" spans="1:11" x14ac:dyDescent="0.2">
      <c r="A7" t="s">
        <v>314</v>
      </c>
      <c r="B7" s="17">
        <f>'Revenue Build'!B59</f>
        <v>5</v>
      </c>
      <c r="C7" s="17">
        <f>'Revenue Build'!C59</f>
        <v>12</v>
      </c>
      <c r="D7" s="17">
        <f>'Revenue Build'!D59</f>
        <v>20</v>
      </c>
      <c r="E7" s="17">
        <f>'Revenue Build'!E59</f>
        <v>30</v>
      </c>
      <c r="F7" s="17">
        <f>'Revenue Build'!F59</f>
        <v>45</v>
      </c>
      <c r="G7" s="17">
        <f>'Revenue Build'!G59</f>
        <v>52</v>
      </c>
      <c r="H7" s="17">
        <f>'Revenue Build'!H59</f>
        <v>58</v>
      </c>
      <c r="I7" s="17">
        <f>'Revenue Build'!I59</f>
        <v>65</v>
      </c>
      <c r="J7" s="17">
        <f>'Revenue Build'!J59</f>
        <v>72</v>
      </c>
      <c r="K7" s="17">
        <f>'Revenue Build'!K59</f>
        <v>80</v>
      </c>
    </row>
    <row r="8" spans="1:11" x14ac:dyDescent="0.2">
      <c r="A8" t="s">
        <v>742</v>
      </c>
      <c r="B8" s="17">
        <f>'Revenue Build'!B12</f>
        <v>23284.799999999996</v>
      </c>
      <c r="C8" s="17">
        <f>'Revenue Build'!C12</f>
        <v>38808</v>
      </c>
      <c r="D8" s="17">
        <f>'Revenue Build'!D12</f>
        <v>62092.799999999988</v>
      </c>
      <c r="E8" s="17">
        <f>'Revenue Build'!E12</f>
        <v>77616</v>
      </c>
      <c r="F8" s="17">
        <f>'Revenue Build'!F12</f>
        <v>100900.79999999999</v>
      </c>
      <c r="G8" s="17">
        <f>'Revenue Build'!G12</f>
        <v>108662.39999999999</v>
      </c>
      <c r="H8" s="17">
        <f>'Revenue Build'!H12</f>
        <v>116424</v>
      </c>
      <c r="I8" s="17">
        <f>'Revenue Build'!I12</f>
        <v>124185.59999999998</v>
      </c>
      <c r="J8" s="17">
        <f>'Revenue Build'!J12</f>
        <v>127290.24000000001</v>
      </c>
      <c r="K8" s="17">
        <f>'Revenue Build'!K12</f>
        <v>131947.19999999998</v>
      </c>
    </row>
    <row r="9" spans="1:11" x14ac:dyDescent="0.2">
      <c r="A9" t="s">
        <v>49</v>
      </c>
      <c r="B9" s="18">
        <f>'Revenue Build'!B13</f>
        <v>85</v>
      </c>
      <c r="C9" s="18">
        <f>'Revenue Build'!C13</f>
        <v>87.55</v>
      </c>
      <c r="D9" s="18">
        <f>'Revenue Build'!D13</f>
        <v>90.176500000000004</v>
      </c>
      <c r="E9" s="18">
        <f>'Revenue Build'!E13</f>
        <v>92.881795000000011</v>
      </c>
      <c r="F9" s="18">
        <f>'Revenue Build'!F13</f>
        <v>95.668248850000012</v>
      </c>
      <c r="G9" s="18">
        <f>'Revenue Build'!G13</f>
        <v>98.53829631550002</v>
      </c>
      <c r="H9" s="18">
        <f>'Revenue Build'!H13</f>
        <v>101.49444520496502</v>
      </c>
      <c r="I9" s="18">
        <f>'Revenue Build'!I13</f>
        <v>104.53927856111397</v>
      </c>
      <c r="J9" s="18">
        <f>'Revenue Build'!J13</f>
        <v>107.6754569179474</v>
      </c>
      <c r="K9" s="18">
        <f>'Revenue Build'!K13</f>
        <v>110.90572062548583</v>
      </c>
    </row>
    <row r="10" spans="1:11" x14ac:dyDescent="0.2">
      <c r="A10" t="s">
        <v>277</v>
      </c>
      <c r="B10" s="18">
        <f>'Revenue Build'!B14</f>
        <v>1979207.9999999995</v>
      </c>
      <c r="C10" s="18">
        <f>'Revenue Build'!C14</f>
        <v>3397640.4</v>
      </c>
      <c r="D10" s="18">
        <f>'Revenue Build'!D14</f>
        <v>5599311.3791999994</v>
      </c>
      <c r="E10" s="18">
        <f>'Revenue Build'!E14</f>
        <v>7209113.4007200012</v>
      </c>
      <c r="F10" s="18">
        <f>'Revenue Build'!F14</f>
        <v>9653002.8435640801</v>
      </c>
      <c r="G10" s="18">
        <f>'Revenue Build'!G14</f>
        <v>10707407.769553389</v>
      </c>
      <c r="H10" s="18">
        <f>'Revenue Build'!H14</f>
        <v>11816389.288542848</v>
      </c>
      <c r="I10" s="18">
        <f>'Revenue Build'!I14</f>
        <v>12982273.031679073</v>
      </c>
      <c r="J10" s="18">
        <f>'Revenue Build'!J14</f>
        <v>13706034.753195185</v>
      </c>
      <c r="K10" s="18">
        <f>'Revenue Build'!K14</f>
        <v>14633699.300515102</v>
      </c>
    </row>
    <row r="11" spans="1:11" x14ac:dyDescent="0.2">
      <c r="A11" t="s">
        <v>743</v>
      </c>
      <c r="B11" s="17">
        <f>'Revenue Build'!B34</f>
        <v>96</v>
      </c>
      <c r="C11" s="17">
        <f>'Revenue Build'!C34</f>
        <v>172.8</v>
      </c>
      <c r="D11" s="17">
        <f>'Revenue Build'!D34</f>
        <v>288</v>
      </c>
      <c r="E11" s="17">
        <f>'Revenue Build'!E34</f>
        <v>364.8</v>
      </c>
      <c r="F11" s="17">
        <f>'Revenue Build'!F34</f>
        <v>480</v>
      </c>
      <c r="G11" s="17">
        <f>'Revenue Build'!G34</f>
        <v>528</v>
      </c>
      <c r="H11" s="17">
        <f>'Revenue Build'!H34</f>
        <v>576</v>
      </c>
      <c r="I11" s="17">
        <f>'Revenue Build'!I34</f>
        <v>624</v>
      </c>
      <c r="J11" s="17">
        <f>'Revenue Build'!J34</f>
        <v>652.79999999999995</v>
      </c>
      <c r="K11" s="17">
        <f>'Revenue Build'!K34</f>
        <v>672</v>
      </c>
    </row>
    <row r="12" spans="1:11" x14ac:dyDescent="0.2">
      <c r="A12" t="s">
        <v>744</v>
      </c>
      <c r="B12" s="17">
        <f>'Revenue Build'!B51</f>
        <v>120</v>
      </c>
      <c r="C12" s="17">
        <f>'Revenue Build'!C51</f>
        <v>180</v>
      </c>
      <c r="D12" s="17">
        <f>'Revenue Build'!D51</f>
        <v>300</v>
      </c>
      <c r="E12" s="17">
        <f>'Revenue Build'!E51</f>
        <v>360</v>
      </c>
      <c r="F12" s="17">
        <f>'Revenue Build'!F51</f>
        <v>480</v>
      </c>
      <c r="G12" s="17">
        <f>'Revenue Build'!G51</f>
        <v>480</v>
      </c>
      <c r="H12" s="17">
        <f>'Revenue Build'!H51</f>
        <v>480</v>
      </c>
      <c r="I12" s="17">
        <f>'Revenue Build'!I51</f>
        <v>480</v>
      </c>
      <c r="J12" s="17">
        <f>'Revenue Build'!J51</f>
        <v>480</v>
      </c>
      <c r="K12" s="17">
        <f>'Revenue Build'!K51</f>
        <v>480</v>
      </c>
    </row>
    <row r="13" spans="1:11" x14ac:dyDescent="0.2">
      <c r="A13" t="s">
        <v>745</v>
      </c>
      <c r="B13" s="17">
        <f>'Revenue Build'!B61</f>
        <v>20</v>
      </c>
      <c r="C13" s="17">
        <f>'Revenue Build'!C61</f>
        <v>48</v>
      </c>
      <c r="D13" s="17">
        <f>'Revenue Build'!D61</f>
        <v>80</v>
      </c>
      <c r="E13" s="17">
        <f>'Revenue Build'!E61</f>
        <v>120</v>
      </c>
      <c r="F13" s="17">
        <f>'Revenue Build'!F61</f>
        <v>180</v>
      </c>
      <c r="G13" s="17">
        <f>'Revenue Build'!G61</f>
        <v>208</v>
      </c>
      <c r="H13" s="17">
        <f>'Revenue Build'!H61</f>
        <v>232</v>
      </c>
      <c r="I13" s="17">
        <f>'Revenue Build'!I61</f>
        <v>260</v>
      </c>
      <c r="J13" s="17">
        <f>'Revenue Build'!J61</f>
        <v>288</v>
      </c>
      <c r="K13" s="17">
        <f>'Revenue Build'!K61</f>
        <v>320</v>
      </c>
    </row>
    <row r="15" spans="1:11" x14ac:dyDescent="0.2">
      <c r="A15" s="45" t="s">
        <v>746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 x14ac:dyDescent="0.2">
      <c r="A16" s="5" t="s">
        <v>747</v>
      </c>
      <c r="B16" s="20">
        <f>'Revenue Build'!B78</f>
        <v>584800.64799999993</v>
      </c>
      <c r="C16" s="20">
        <f>'Revenue Build'!C78</f>
        <v>1205553.4572000001</v>
      </c>
      <c r="D16" s="20">
        <f>'Revenue Build'!D78</f>
        <v>2069745.0476191998</v>
      </c>
      <c r="E16" s="20">
        <f>'Revenue Build'!E78</f>
        <v>2877110.6754926401</v>
      </c>
      <c r="F16" s="20">
        <f>'Revenue Build'!F78</f>
        <v>4131015.4205565937</v>
      </c>
      <c r="G16" s="20">
        <f>'Revenue Build'!G78</f>
        <v>4676081.5232860502</v>
      </c>
      <c r="H16" s="20">
        <f>'Revenue Build'!H78</f>
        <v>5197545.3764527719</v>
      </c>
      <c r="I16" s="20">
        <f>'Revenue Build'!I78</f>
        <v>5779105.1736153392</v>
      </c>
      <c r="J16" s="20">
        <f>'Revenue Build'!J78</f>
        <v>6287807.5386141911</v>
      </c>
      <c r="K16" s="20">
        <f>'Revenue Build'!K78</f>
        <v>6941838.6186841698</v>
      </c>
    </row>
    <row r="17" spans="1:11" x14ac:dyDescent="0.2">
      <c r="A17" t="s">
        <v>580</v>
      </c>
      <c r="B17" s="18">
        <f>'Revenue Build'!B20</f>
        <v>265097.44799999992</v>
      </c>
      <c r="C17" s="18">
        <f>'Revenue Build'!C20</f>
        <v>460846.94040000002</v>
      </c>
      <c r="D17" s="18">
        <f>'Revenue Build'!D20</f>
        <v>768382.19377919985</v>
      </c>
      <c r="E17" s="18">
        <f>'Revenue Build'!E20</f>
        <v>1000032.1884907201</v>
      </c>
      <c r="F17" s="18">
        <f>'Revenue Build'!F20</f>
        <v>1352494.438289074</v>
      </c>
      <c r="G17" s="18">
        <f>'Revenue Build'!G20</f>
        <v>1503162.3309637271</v>
      </c>
      <c r="H17" s="18">
        <f>'Revenue Build'!H20</f>
        <v>1665684.0003563988</v>
      </c>
      <c r="I17" s="18">
        <f>'Revenue Build'!I20</f>
        <v>1832755.8099915632</v>
      </c>
      <c r="J17" s="18">
        <f>'Revenue Build'!J20</f>
        <v>1933170.5677025933</v>
      </c>
      <c r="K17" s="18">
        <f>'Revenue Build'!K20</f>
        <v>2066507.0118649029</v>
      </c>
    </row>
    <row r="18" spans="1:11" x14ac:dyDescent="0.2">
      <c r="A18" t="s">
        <v>581</v>
      </c>
      <c r="B18" s="18">
        <f>'Revenue Build'!B38</f>
        <v>979.19999999999993</v>
      </c>
      <c r="C18" s="18">
        <f>'Revenue Build'!C38</f>
        <v>1815.4368000000002</v>
      </c>
      <c r="D18" s="18">
        <f>'Revenue Build'!D38</f>
        <v>63116.499839999997</v>
      </c>
      <c r="E18" s="18">
        <f>'Revenue Build'!E38</f>
        <v>118065.99345792001</v>
      </c>
      <c r="F18" s="18">
        <f>'Revenue Build'!F38</f>
        <v>205510.49113375999</v>
      </c>
      <c r="G18" s="18">
        <f>'Revenue Build'!G38</f>
        <v>281243.38645455008</v>
      </c>
      <c r="H18" s="18">
        <f>'Revenue Build'!H38</f>
        <v>367015.2960525672</v>
      </c>
      <c r="I18" s="18">
        <f>'Revenue Build'!I38</f>
        <v>462827.9011786562</v>
      </c>
      <c r="J18" s="18">
        <f>'Revenue Build'!J38</f>
        <v>552434.86459312437</v>
      </c>
      <c r="K18" s="18">
        <f>'Revenue Build'!K38</f>
        <v>708943.43731123919</v>
      </c>
    </row>
    <row r="19" spans="1:11" x14ac:dyDescent="0.2">
      <c r="A19" t="s">
        <v>582</v>
      </c>
      <c r="B19" s="18">
        <f>'Revenue Build'!B56</f>
        <v>131224</v>
      </c>
      <c r="C19" s="18">
        <f>'Revenue Build'!C56</f>
        <v>196891.08000000002</v>
      </c>
      <c r="D19" s="18">
        <f>'Revenue Build'!D56</f>
        <v>328246.35399999999</v>
      </c>
      <c r="E19" s="18">
        <f>'Revenue Build'!E56</f>
        <v>394012.49354399997</v>
      </c>
      <c r="F19" s="18">
        <f>'Revenue Build'!F56</f>
        <v>525510.49113375996</v>
      </c>
      <c r="G19" s="18">
        <f>'Revenue Build'!G56</f>
        <v>525675.80586777278</v>
      </c>
      <c r="H19" s="18">
        <f>'Revenue Build'!H56</f>
        <v>525846.080043806</v>
      </c>
      <c r="I19" s="18">
        <f>'Revenue Build'!I56</f>
        <v>526021.46244512009</v>
      </c>
      <c r="J19" s="18">
        <f>'Revenue Build'!J56</f>
        <v>526202.10631847382</v>
      </c>
      <c r="K19" s="18">
        <f>'Revenue Build'!K56</f>
        <v>526388.16950802796</v>
      </c>
    </row>
    <row r="20" spans="1:11" x14ac:dyDescent="0.2">
      <c r="A20" t="s">
        <v>583</v>
      </c>
      <c r="B20" s="18">
        <f>'Revenue Build'!B71</f>
        <v>187500</v>
      </c>
      <c r="C20" s="18">
        <f>'Revenue Build'!C71</f>
        <v>546000</v>
      </c>
      <c r="D20" s="18">
        <f>'Revenue Build'!D71</f>
        <v>910000</v>
      </c>
      <c r="E20" s="18">
        <f>'Revenue Build'!E71</f>
        <v>1365000</v>
      </c>
      <c r="F20" s="18">
        <f>'Revenue Build'!F71</f>
        <v>2047500</v>
      </c>
      <c r="G20" s="18">
        <f>'Revenue Build'!G71</f>
        <v>2366000</v>
      </c>
      <c r="H20" s="18">
        <f>'Revenue Build'!H71</f>
        <v>2639000</v>
      </c>
      <c r="I20" s="18">
        <f>'Revenue Build'!I71</f>
        <v>2957500</v>
      </c>
      <c r="J20" s="18">
        <f>'Revenue Build'!J71</f>
        <v>3276000</v>
      </c>
      <c r="K20" s="18">
        <f>'Revenue Build'!K71</f>
        <v>3640000</v>
      </c>
    </row>
    <row r="21" spans="1:11" x14ac:dyDescent="0.2">
      <c r="A21" s="5" t="s">
        <v>748</v>
      </c>
      <c r="B21" s="20">
        <f>'Margin Analysis'!B43</f>
        <v>290353.39503999992</v>
      </c>
      <c r="C21" s="20">
        <f>'Margin Analysis'!C43</f>
        <v>623213.17605600005</v>
      </c>
      <c r="D21" s="20">
        <f>'Margin Analysis'!D43</f>
        <v>1099870.8052908159</v>
      </c>
      <c r="E21" s="20">
        <f>'Margin Analysis'!E43</f>
        <v>1552245.0599611874</v>
      </c>
      <c r="F21" s="20">
        <f>'Margin Analysis'!F43</f>
        <v>2264430.0268385392</v>
      </c>
      <c r="G21" s="20">
        <f>'Margin Analysis'!G43</f>
        <v>2579837.6597337276</v>
      </c>
      <c r="H21" s="20">
        <f>'Margin Analysis'!H43</f>
        <v>2890352.7902674307</v>
      </c>
      <c r="I21" s="20">
        <f>'Margin Analysis'!I43</f>
        <v>3238179.8791926601</v>
      </c>
      <c r="J21" s="20">
        <f>'Margin Analysis'!J43</f>
        <v>3547070.3452460519</v>
      </c>
      <c r="K21" s="20">
        <f>'Margin Analysis'!K43</f>
        <v>3981990.8672950338</v>
      </c>
    </row>
    <row r="22" spans="1:11" x14ac:dyDescent="0.2">
      <c r="A22" s="5" t="s">
        <v>390</v>
      </c>
      <c r="B22" s="74">
        <f>'Margin Analysis'!B44</f>
        <v>0.49649978335865308</v>
      </c>
      <c r="C22" s="74">
        <f>'Margin Analysis'!C44</f>
        <v>0.51695192140501622</v>
      </c>
      <c r="D22" s="74">
        <f>'Margin Analysis'!D44</f>
        <v>0.53140400386800424</v>
      </c>
      <c r="E22" s="74">
        <f>'Margin Analysis'!E44</f>
        <v>0.53951524116999794</v>
      </c>
      <c r="F22" s="74">
        <f>'Margin Analysis'!F44</f>
        <v>0.54815337061449176</v>
      </c>
      <c r="G22" s="74">
        <f>'Margin Analysis'!G44</f>
        <v>0.55170929909724564</v>
      </c>
      <c r="H22" s="74">
        <f>'Margin Analysis'!H44</f>
        <v>0.55609957795886389</v>
      </c>
      <c r="I22" s="74">
        <f>'Margin Analysis'!I44</f>
        <v>0.56032547979515201</v>
      </c>
      <c r="J22" s="74">
        <f>'Margin Analysis'!J44</f>
        <v>0.56411878440347629</v>
      </c>
      <c r="K22" s="74">
        <f>'Margin Analysis'!K44</f>
        <v>0.57362193015801088</v>
      </c>
    </row>
    <row r="23" spans="1:11" x14ac:dyDescent="0.2">
      <c r="A23" s="5" t="s">
        <v>749</v>
      </c>
      <c r="B23" s="52">
        <f>'Margin Analysis'!B47</f>
        <v>-715646.60496000014</v>
      </c>
      <c r="C23" s="52">
        <f>'Margin Analysis'!C47</f>
        <v>-651336.82394399995</v>
      </c>
      <c r="D23" s="52">
        <f>'Margin Analysis'!D47</f>
        <v>-219866.69470918411</v>
      </c>
      <c r="E23" s="52">
        <f>'Margin Analysis'!E47</f>
        <v>-5610.3400388127193</v>
      </c>
      <c r="F23" s="52">
        <f>'Margin Analysis'!F47</f>
        <v>652175.48733853921</v>
      </c>
      <c r="G23" s="52">
        <f>'Margin Analysis'!G47</f>
        <v>911168.83267372777</v>
      </c>
      <c r="H23" s="52">
        <f>'Margin Analysis'!H47</f>
        <v>954215.76255930611</v>
      </c>
      <c r="I23" s="52">
        <f>'Margin Analysis'!I47</f>
        <v>1235087.3075123539</v>
      </c>
      <c r="J23" s="52">
        <f>'Margin Analysis'!J47</f>
        <v>1252885.2273745197</v>
      </c>
      <c r="K23" s="52">
        <f>'Margin Analysis'!K47</f>
        <v>1609199.4408494718</v>
      </c>
    </row>
    <row r="24" spans="1:11" x14ac:dyDescent="0.2">
      <c r="A24" t="s">
        <v>432</v>
      </c>
      <c r="B24" s="19">
        <f>'Margin Analysis'!B48</f>
        <v>-1.2237445485183529</v>
      </c>
      <c r="C24" s="19">
        <f>'Margin Analysis'!C48</f>
        <v>-0.54028033352978377</v>
      </c>
      <c r="D24" s="19">
        <f>'Margin Analysis'!D48</f>
        <v>-0.10622887826792669</v>
      </c>
      <c r="E24" s="19">
        <f>'Margin Analysis'!E48</f>
        <v>-1.9499910401785552E-3</v>
      </c>
      <c r="F24" s="19">
        <f>'Margin Analysis'!F48</f>
        <v>0.1578729249213667</v>
      </c>
      <c r="G24" s="19">
        <f>'Margin Analysis'!G48</f>
        <v>0.19485734543682992</v>
      </c>
      <c r="H24" s="19">
        <f>'Margin Analysis'!H48</f>
        <v>0.1835896934892256</v>
      </c>
      <c r="I24" s="19">
        <f>'Margin Analysis'!I48</f>
        <v>0.21371601145990185</v>
      </c>
      <c r="J24" s="19">
        <f>'Margin Analysis'!J48</f>
        <v>0.19925629397534816</v>
      </c>
      <c r="K24" s="19">
        <f>'Margin Analysis'!K48</f>
        <v>0.23181170425343259</v>
      </c>
    </row>
    <row r="25" spans="1:11" x14ac:dyDescent="0.2">
      <c r="A25" t="s">
        <v>750</v>
      </c>
      <c r="B25" s="51">
        <f>'Margin Analysis'!B59</f>
        <v>-791670.68920000014</v>
      </c>
      <c r="C25" s="51">
        <f>'Margin Analysis'!C59</f>
        <v>-761274.72154000006</v>
      </c>
      <c r="D25" s="51">
        <f>'Margin Analysis'!D59</f>
        <v>-392489.27432368009</v>
      </c>
      <c r="E25" s="51">
        <f>'Margin Analysis'!E59</f>
        <v>-214055.12404331996</v>
      </c>
      <c r="F25" s="51">
        <f>'Margin Analysis'!F59</f>
        <v>213251.08052513297</v>
      </c>
      <c r="G25" s="51">
        <f>'Margin Analysis'!G59</f>
        <v>441037.87154728209</v>
      </c>
      <c r="H25" s="51">
        <f>'Margin Analysis'!H59</f>
        <v>453049.03516689909</v>
      </c>
      <c r="I25" s="51">
        <f>'Margin Analysis'!I59</f>
        <v>634178.72698260809</v>
      </c>
      <c r="J25" s="51">
        <f>'Margin Analysis'!J59</f>
        <v>631735.91093987843</v>
      </c>
      <c r="K25" s="51">
        <f>'Margin Analysis'!K59</f>
        <v>859548.95293742849</v>
      </c>
    </row>
    <row r="26" spans="1:11" x14ac:dyDescent="0.2">
      <c r="A26" t="s">
        <v>445</v>
      </c>
      <c r="B26" s="19">
        <f>'Margin Analysis'!B60</f>
        <v>-1.353744548518353</v>
      </c>
      <c r="C26" s="19">
        <f>'Margin Analysis'!C60</f>
        <v>-0.63147321837401138</v>
      </c>
      <c r="D26" s="19">
        <f>'Margin Analysis'!D60</f>
        <v>-0.18963170114848457</v>
      </c>
      <c r="E26" s="19">
        <f>'Margin Analysis'!E60</f>
        <v>-7.4399336065397573E-2</v>
      </c>
      <c r="F26" s="19">
        <f>'Margin Analysis'!F60</f>
        <v>5.1621952187339094E-2</v>
      </c>
      <c r="G26" s="19">
        <f>'Margin Analysis'!G60</f>
        <v>9.4317832003354155E-2</v>
      </c>
      <c r="H26" s="19">
        <f>'Margin Analysis'!H60</f>
        <v>8.7165960535797504E-2</v>
      </c>
      <c r="I26" s="19">
        <f>'Margin Analysis'!I60</f>
        <v>0.10973649171120266</v>
      </c>
      <c r="J26" s="19">
        <f>'Margin Analysis'!J60</f>
        <v>0.10046998211384674</v>
      </c>
      <c r="K26" s="19">
        <f>'Margin Analysis'!K60</f>
        <v>0.12382151187207469</v>
      </c>
    </row>
    <row r="27" spans="1:11" x14ac:dyDescent="0.2">
      <c r="A27" t="s">
        <v>751</v>
      </c>
      <c r="B27" s="19" t="str">
        <f>'Revenue Build'!B85</f>
        <v>N/A</v>
      </c>
      <c r="C27" s="19">
        <f>'Revenue Build'!C85</f>
        <v>1.0614776357087761</v>
      </c>
      <c r="D27" s="19">
        <f>'Revenue Build'!D85</f>
        <v>0.71684219829318718</v>
      </c>
      <c r="E27" s="19">
        <f>'Revenue Build'!E85</f>
        <v>0.39007974861548395</v>
      </c>
      <c r="F27" s="19">
        <f>'Revenue Build'!F85</f>
        <v>0.43582082390669619</v>
      </c>
      <c r="G27" s="19">
        <f>'Revenue Build'!G85</f>
        <v>0.13194482402973379</v>
      </c>
      <c r="H27" s="19">
        <f>'Revenue Build'!H85</f>
        <v>0.11151727158090058</v>
      </c>
      <c r="I27" s="19">
        <f>'Revenue Build'!I85</f>
        <v>0.11189124000673391</v>
      </c>
      <c r="J27" s="19">
        <f>'Revenue Build'!J85</f>
        <v>8.802441722662295E-2</v>
      </c>
      <c r="K27" s="19">
        <f>'Revenue Build'!K85</f>
        <v>0.10401576003296766</v>
      </c>
    </row>
    <row r="29" spans="1:11" x14ac:dyDescent="0.2">
      <c r="A29" s="46" t="s">
        <v>752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x14ac:dyDescent="0.2">
      <c r="A30" t="s">
        <v>753</v>
      </c>
      <c r="B30" s="18">
        <f>'Unit Economics'!B7</f>
        <v>25</v>
      </c>
      <c r="C30" s="18">
        <f>'Unit Economics'!C7</f>
        <v>25</v>
      </c>
      <c r="D30" s="18">
        <f>'Unit Economics'!D7</f>
        <v>25</v>
      </c>
      <c r="E30" s="18">
        <f>'Unit Economics'!E7</f>
        <v>25</v>
      </c>
      <c r="F30" s="18">
        <f>'Unit Economics'!F7</f>
        <v>25</v>
      </c>
      <c r="G30" s="18">
        <f>'Unit Economics'!G7</f>
        <v>25</v>
      </c>
      <c r="H30" s="18">
        <f>'Unit Economics'!H7</f>
        <v>25</v>
      </c>
      <c r="I30" s="18">
        <f>'Unit Economics'!I7</f>
        <v>25</v>
      </c>
      <c r="J30" s="18">
        <f>'Unit Economics'!J7</f>
        <v>25</v>
      </c>
      <c r="K30" s="18">
        <f>'Unit Economics'!K7</f>
        <v>25</v>
      </c>
    </row>
    <row r="31" spans="1:11" x14ac:dyDescent="0.2">
      <c r="A31" t="s">
        <v>240</v>
      </c>
      <c r="B31" s="18">
        <f>'Unit Economics'!B13</f>
        <v>227.69999999999993</v>
      </c>
      <c r="C31" s="18">
        <f>'Unit Economics'!C13</f>
        <v>237.50099999999998</v>
      </c>
      <c r="D31" s="18">
        <f>'Unit Economics'!D13</f>
        <v>247.49477999999999</v>
      </c>
      <c r="E31" s="18">
        <f>'Unit Economics'!E13</f>
        <v>257.68712340000002</v>
      </c>
      <c r="F31" s="18">
        <f>'Unit Economics'!F13</f>
        <v>268.08398710199998</v>
      </c>
      <c r="G31" s="18">
        <f>'Unit Economics'!G13</f>
        <v>276.66650671506005</v>
      </c>
      <c r="H31" s="18">
        <f>'Unit Economics'!H13</f>
        <v>286.14100191651181</v>
      </c>
      <c r="I31" s="18">
        <f>'Unit Economics'!I13</f>
        <v>295.16398197400719</v>
      </c>
      <c r="J31" s="18">
        <f>'Unit Economics'!J13</f>
        <v>303.74215143322743</v>
      </c>
      <c r="K31" s="18">
        <f>'Unit Economics'!K13</f>
        <v>313.23241597622427</v>
      </c>
    </row>
    <row r="32" spans="1:11" x14ac:dyDescent="0.2">
      <c r="A32" t="s">
        <v>458</v>
      </c>
      <c r="B32" s="40">
        <f>'Unit Economics'!B14</f>
        <v>9.107999999999997</v>
      </c>
      <c r="C32" s="40">
        <f>'Unit Economics'!C14</f>
        <v>9.5000399999999985</v>
      </c>
      <c r="D32" s="40">
        <f>'Unit Economics'!D14</f>
        <v>9.8997911999999992</v>
      </c>
      <c r="E32" s="40">
        <f>'Unit Economics'!E14</f>
        <v>10.307484936000002</v>
      </c>
      <c r="F32" s="40">
        <f>'Unit Economics'!F14</f>
        <v>10.72335948408</v>
      </c>
      <c r="G32" s="40">
        <f>'Unit Economics'!G14</f>
        <v>11.066660268602401</v>
      </c>
      <c r="H32" s="40">
        <f>'Unit Economics'!H14</f>
        <v>11.445640076660473</v>
      </c>
      <c r="I32" s="40">
        <f>'Unit Economics'!I14</f>
        <v>11.806559278960288</v>
      </c>
      <c r="J32" s="40">
        <f>'Unit Economics'!J14</f>
        <v>12.149686057329097</v>
      </c>
      <c r="K32" s="40">
        <f>'Unit Economics'!K14</f>
        <v>12.529296639048971</v>
      </c>
    </row>
    <row r="33" spans="1:11" x14ac:dyDescent="0.2">
      <c r="A33" t="s">
        <v>459</v>
      </c>
      <c r="B33" s="62">
        <f>'Unit Economics'!B15</f>
        <v>4.3917435221783059</v>
      </c>
      <c r="C33" s="62">
        <f>'Unit Economics'!C15</f>
        <v>4.2105085873322636</v>
      </c>
      <c r="D33" s="62">
        <f>'Unit Economics'!D15</f>
        <v>4.0404892579956639</v>
      </c>
      <c r="E33" s="62">
        <f>'Unit Economics'!E15</f>
        <v>3.8806750869259767</v>
      </c>
      <c r="F33" s="62">
        <f>'Unit Economics'!F15</f>
        <v>3.7301743039934805</v>
      </c>
      <c r="G33" s="62">
        <f>'Unit Economics'!G15</f>
        <v>3.6144599209831494</v>
      </c>
      <c r="H33" s="62">
        <f>'Unit Economics'!H15</f>
        <v>3.4947805218483605</v>
      </c>
      <c r="I33" s="62">
        <f>'Unit Economics'!I15</f>
        <v>3.3879472465175717</v>
      </c>
      <c r="J33" s="62">
        <f>'Unit Economics'!J15</f>
        <v>3.2922661385041025</v>
      </c>
      <c r="K33" s="62">
        <f>'Unit Economics'!K15</f>
        <v>3.1925175971439184</v>
      </c>
    </row>
    <row r="34" spans="1:11" x14ac:dyDescent="0.2">
      <c r="A34" t="s">
        <v>754</v>
      </c>
      <c r="B34" s="18">
        <f>IF('Revenue Build'!B9=0,0,'Revenue Build'!B20/'Revenue Build'!B9)</f>
        <v>4007.5199999999991</v>
      </c>
      <c r="C34" s="18">
        <f>IF('Revenue Build'!C9=0,0,'Revenue Build'!C20/'Revenue Build'!C9)</f>
        <v>4180.0176000000001</v>
      </c>
      <c r="D34" s="18">
        <f>IF('Revenue Build'!D9=0,0,'Revenue Build'!D20/'Revenue Build'!D9)</f>
        <v>4355.908128</v>
      </c>
      <c r="E34" s="18">
        <f>IF('Revenue Build'!E9=0,0,'Revenue Build'!E20/'Revenue Build'!E9)</f>
        <v>4535.2933718400009</v>
      </c>
      <c r="F34" s="18">
        <f>IF('Revenue Build'!F9=0,0,'Revenue Build'!F20/'Revenue Build'!F9)</f>
        <v>4718.2781729952003</v>
      </c>
      <c r="G34" s="18">
        <f>IF('Revenue Build'!G9=0,0,'Revenue Build'!G20/'Revenue Build'!G9)</f>
        <v>4869.3305181850574</v>
      </c>
      <c r="H34" s="18">
        <f>IF('Revenue Build'!H9=0,0,'Revenue Build'!H20/'Revenue Build'!H9)</f>
        <v>5036.0816337306087</v>
      </c>
      <c r="I34" s="18">
        <f>IF('Revenue Build'!I9=0,0,'Revenue Build'!I20/'Revenue Build'!I9)</f>
        <v>5194.8860827425269</v>
      </c>
      <c r="J34" s="18">
        <f>IF('Revenue Build'!J9=0,0,'Revenue Build'!J20/'Revenue Build'!J9)</f>
        <v>5345.8618652248033</v>
      </c>
      <c r="K34" s="18">
        <f>IF('Revenue Build'!K9=0,0,'Revenue Build'!K20/'Revenue Build'!K9)</f>
        <v>5512.8905211815472</v>
      </c>
    </row>
    <row r="35" spans="1:11" x14ac:dyDescent="0.2">
      <c r="A35" t="s">
        <v>473</v>
      </c>
      <c r="B35" s="18">
        <f>IF('Revenue Build'!B41=0,0,'Revenue Build'!B56/'Revenue Build'!B41)</f>
        <v>65612</v>
      </c>
      <c r="C35" s="18">
        <f>IF('Revenue Build'!C41=0,0,'Revenue Build'!C56/'Revenue Build'!C41)</f>
        <v>65630.36</v>
      </c>
      <c r="D35" s="18">
        <f>IF('Revenue Build'!D41=0,0,'Revenue Build'!D56/'Revenue Build'!D41)</f>
        <v>65649.270799999998</v>
      </c>
      <c r="E35" s="18">
        <f>IF('Revenue Build'!E41=0,0,'Revenue Build'!E56/'Revenue Build'!E41)</f>
        <v>65668.748924</v>
      </c>
      <c r="F35" s="18">
        <f>IF('Revenue Build'!F41=0,0,'Revenue Build'!F56/'Revenue Build'!F41)</f>
        <v>65688.811391719995</v>
      </c>
      <c r="G35" s="18">
        <f>IF('Revenue Build'!G41=0,0,'Revenue Build'!G56/'Revenue Build'!G41)</f>
        <v>65709.475733471598</v>
      </c>
      <c r="H35" s="18">
        <f>IF('Revenue Build'!H41=0,0,'Revenue Build'!H56/'Revenue Build'!H41)</f>
        <v>65730.760005475749</v>
      </c>
      <c r="I35" s="18">
        <f>IF('Revenue Build'!I41=0,0,'Revenue Build'!I56/'Revenue Build'!I41)</f>
        <v>65752.682805640012</v>
      </c>
      <c r="J35" s="18">
        <f>IF('Revenue Build'!J41=0,0,'Revenue Build'!J56/'Revenue Build'!J41)</f>
        <v>65775.263289809227</v>
      </c>
      <c r="K35" s="18">
        <f>IF('Revenue Build'!K41=0,0,'Revenue Build'!K56/'Revenue Build'!K41)</f>
        <v>65798.521188503495</v>
      </c>
    </row>
    <row r="36" spans="1:11" x14ac:dyDescent="0.2">
      <c r="A36" t="s">
        <v>755</v>
      </c>
      <c r="B36" s="18">
        <f>IF('Revenue Build'!B59=0,0,'Revenue Build'!B71/'Revenue Build'!B59)</f>
        <v>37500</v>
      </c>
      <c r="C36" s="18">
        <f>IF('Revenue Build'!C59=0,0,'Revenue Build'!C71/'Revenue Build'!C59)</f>
        <v>45500</v>
      </c>
      <c r="D36" s="18">
        <f>IF('Revenue Build'!D59=0,0,'Revenue Build'!D71/'Revenue Build'!D59)</f>
        <v>45500</v>
      </c>
      <c r="E36" s="18">
        <f>IF('Revenue Build'!E59=0,0,'Revenue Build'!E71/'Revenue Build'!E59)</f>
        <v>45500</v>
      </c>
      <c r="F36" s="18">
        <f>IF('Revenue Build'!F59=0,0,'Revenue Build'!F71/'Revenue Build'!F59)</f>
        <v>45500</v>
      </c>
      <c r="G36" s="18">
        <f>IF('Revenue Build'!G59=0,0,'Revenue Build'!G71/'Revenue Build'!G59)</f>
        <v>45500</v>
      </c>
      <c r="H36" s="18">
        <f>IF('Revenue Build'!H59=0,0,'Revenue Build'!H71/'Revenue Build'!H59)</f>
        <v>45500</v>
      </c>
      <c r="I36" s="18">
        <f>IF('Revenue Build'!I59=0,0,'Revenue Build'!I71/'Revenue Build'!I59)</f>
        <v>45500</v>
      </c>
      <c r="J36" s="18">
        <f>IF('Revenue Build'!J59=0,0,'Revenue Build'!J71/'Revenue Build'!J59)</f>
        <v>45500</v>
      </c>
      <c r="K36" s="18">
        <f>IF('Revenue Build'!K59=0,0,'Revenue Build'!K71/'Revenue Build'!K59)</f>
        <v>45500</v>
      </c>
    </row>
    <row r="37" spans="1:11" x14ac:dyDescent="0.2">
      <c r="A37" t="s">
        <v>242</v>
      </c>
      <c r="B37" s="18">
        <f>'Unit Economics'!B42</f>
        <v>187500.00000000003</v>
      </c>
      <c r="C37" s="18">
        <f>'Unit Economics'!C42</f>
        <v>227500.00000000003</v>
      </c>
      <c r="D37" s="18">
        <f>'Unit Economics'!D42</f>
        <v>227500.00000000003</v>
      </c>
      <c r="E37" s="18">
        <f>'Unit Economics'!E42</f>
        <v>227500.00000000003</v>
      </c>
      <c r="F37" s="18">
        <f>'Unit Economics'!F42</f>
        <v>227500.00000000003</v>
      </c>
      <c r="G37" s="18">
        <f>'Unit Economics'!G42</f>
        <v>227500.00000000003</v>
      </c>
      <c r="H37" s="18">
        <f>'Unit Economics'!H42</f>
        <v>227500.00000000003</v>
      </c>
      <c r="I37" s="18">
        <f>'Unit Economics'!I42</f>
        <v>227500.00000000003</v>
      </c>
      <c r="J37" s="18">
        <f>'Unit Economics'!J42</f>
        <v>227500.00000000003</v>
      </c>
      <c r="K37" s="18">
        <f>'Unit Economics'!K42</f>
        <v>227500.00000000003</v>
      </c>
    </row>
    <row r="38" spans="1:11" x14ac:dyDescent="0.2">
      <c r="A38" t="s">
        <v>756</v>
      </c>
      <c r="B38" s="40">
        <f>'Unit Economics'!B43</f>
        <v>75.000000000000014</v>
      </c>
      <c r="C38" s="40">
        <f>'Unit Economics'!C43</f>
        <v>91.000000000000014</v>
      </c>
      <c r="D38" s="40">
        <f>'Unit Economics'!D43</f>
        <v>91.000000000000014</v>
      </c>
      <c r="E38" s="40">
        <f>'Unit Economics'!E43</f>
        <v>91.000000000000014</v>
      </c>
      <c r="F38" s="40">
        <f>'Unit Economics'!F43</f>
        <v>91.000000000000014</v>
      </c>
      <c r="G38" s="40">
        <f>'Unit Economics'!G43</f>
        <v>91.000000000000014</v>
      </c>
      <c r="H38" s="40">
        <f>'Unit Economics'!H43</f>
        <v>91.000000000000014</v>
      </c>
      <c r="I38" s="40">
        <f>'Unit Economics'!I43</f>
        <v>91.000000000000014</v>
      </c>
      <c r="J38" s="40">
        <f>'Unit Economics'!J43</f>
        <v>91.000000000000014</v>
      </c>
      <c r="K38" s="40">
        <f>'Unit Economics'!K43</f>
        <v>91.000000000000014</v>
      </c>
    </row>
    <row r="40" spans="1:11" x14ac:dyDescent="0.2">
      <c r="A40" s="47" t="s">
        <v>757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spans="1:11" x14ac:dyDescent="0.2">
      <c r="A41" s="5" t="s">
        <v>758</v>
      </c>
      <c r="B41" s="20">
        <f>'DCF Valuation'!B45</f>
        <v>2720333.3882136662</v>
      </c>
    </row>
    <row r="42" spans="1:11" x14ac:dyDescent="0.2">
      <c r="A42" t="s">
        <v>759</v>
      </c>
      <c r="B42" s="40">
        <f>'LBO Analysis'!B53</f>
        <v>5.2400756446301031</v>
      </c>
    </row>
    <row r="43" spans="1:11" x14ac:dyDescent="0.2">
      <c r="A43" t="s">
        <v>760</v>
      </c>
      <c r="B43" s="19">
        <f>'LBO Analysis'!B54</f>
        <v>0.39273186223260637</v>
      </c>
    </row>
    <row r="44" spans="1:11" x14ac:dyDescent="0.2">
      <c r="A44" t="s">
        <v>761</v>
      </c>
      <c r="B44" s="40">
        <f>'DCF Valuation'!B51</f>
        <v>4.1711677930660436</v>
      </c>
    </row>
    <row r="45" spans="1:11" x14ac:dyDescent="0.2">
      <c r="A45" t="s">
        <v>762</v>
      </c>
      <c r="B45" s="40">
        <f>'DCF Valuation'!B50</f>
        <v>0.39187505467093486</v>
      </c>
    </row>
    <row r="128" spans="1:11" x14ac:dyDescent="0.2">
      <c r="A128" s="148" t="s">
        <v>1052</v>
      </c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</row>
    <row r="129" spans="1:4" x14ac:dyDescent="0.2">
      <c r="A129" s="35" t="s">
        <v>1053</v>
      </c>
      <c r="B129" s="35" t="s">
        <v>1054</v>
      </c>
      <c r="C129" s="35" t="s">
        <v>1055</v>
      </c>
      <c r="D129" s="35" t="s">
        <v>1056</v>
      </c>
    </row>
    <row r="130" spans="1:4" x14ac:dyDescent="0.2">
      <c r="A130" t="s">
        <v>1057</v>
      </c>
      <c r="B130" s="8">
        <v>8</v>
      </c>
      <c r="C130" s="76">
        <v>0.15</v>
      </c>
      <c r="D130" s="167">
        <f>B130*C130</f>
        <v>1.2</v>
      </c>
    </row>
    <row r="131" spans="1:4" x14ac:dyDescent="0.2">
      <c r="A131" t="s">
        <v>1058</v>
      </c>
      <c r="B131" s="8">
        <v>7</v>
      </c>
      <c r="C131" s="76">
        <v>0.12</v>
      </c>
      <c r="D131" s="167">
        <f>B131*C131</f>
        <v>0.84</v>
      </c>
    </row>
    <row r="132" spans="1:4" x14ac:dyDescent="0.2">
      <c r="A132" t="s">
        <v>1059</v>
      </c>
      <c r="B132" s="8">
        <v>8</v>
      </c>
      <c r="C132" s="76">
        <v>0.12</v>
      </c>
      <c r="D132" s="167">
        <f>B132*C132</f>
        <v>0.96</v>
      </c>
    </row>
    <row r="133" spans="1:4" x14ac:dyDescent="0.2">
      <c r="A133" t="s">
        <v>1060</v>
      </c>
      <c r="B133" s="8">
        <v>9</v>
      </c>
      <c r="C133" s="76">
        <v>0.1</v>
      </c>
      <c r="D133" s="167">
        <f>B133*C133</f>
        <v>0.9</v>
      </c>
    </row>
    <row r="134" spans="1:4" x14ac:dyDescent="0.2">
      <c r="A134" t="s">
        <v>1061</v>
      </c>
      <c r="B134" s="8">
        <v>9</v>
      </c>
      <c r="C134" s="76">
        <v>0.1</v>
      </c>
      <c r="D134" s="167">
        <f>B134*C134</f>
        <v>0.9</v>
      </c>
    </row>
    <row r="135" spans="1:4" x14ac:dyDescent="0.2">
      <c r="A135" t="s">
        <v>1062</v>
      </c>
      <c r="B135" s="8">
        <v>6</v>
      </c>
      <c r="C135" s="76">
        <v>0.1</v>
      </c>
      <c r="D135" s="167">
        <f>B135*C135</f>
        <v>0.60000000000000009</v>
      </c>
    </row>
    <row r="136" spans="1:4" x14ac:dyDescent="0.2">
      <c r="A136" t="s">
        <v>1063</v>
      </c>
      <c r="B136" s="8">
        <v>7</v>
      </c>
      <c r="C136" s="76">
        <v>0.08</v>
      </c>
      <c r="D136" s="167">
        <f>B136*C136</f>
        <v>0.56000000000000005</v>
      </c>
    </row>
    <row r="137" spans="1:4" x14ac:dyDescent="0.2">
      <c r="A137" t="s">
        <v>866</v>
      </c>
      <c r="B137" s="8">
        <v>8</v>
      </c>
      <c r="C137" s="76">
        <v>0.08</v>
      </c>
      <c r="D137" s="167">
        <f>B137*C137</f>
        <v>0.64</v>
      </c>
    </row>
    <row r="138" spans="1:4" x14ac:dyDescent="0.2">
      <c r="A138" t="s">
        <v>1064</v>
      </c>
      <c r="B138" s="8">
        <v>6</v>
      </c>
      <c r="C138" s="76">
        <v>0.08</v>
      </c>
      <c r="D138" s="167">
        <f>B138*C138</f>
        <v>0.48</v>
      </c>
    </row>
    <row r="139" spans="1:4" ht="17" thickBot="1" x14ac:dyDescent="0.25">
      <c r="A139" t="s">
        <v>1065</v>
      </c>
      <c r="B139" s="8">
        <v>7</v>
      </c>
      <c r="C139" s="76">
        <v>7.0000000000000007E-2</v>
      </c>
      <c r="D139" s="167">
        <f>B139*C139</f>
        <v>0.49000000000000005</v>
      </c>
    </row>
    <row r="140" spans="1:4" ht="20" thickTop="1" x14ac:dyDescent="0.25">
      <c r="A140" s="169" t="s">
        <v>1066</v>
      </c>
      <c r="B140" s="170"/>
      <c r="C140" s="171">
        <f>SUM(C130:C139)</f>
        <v>0.99999999999999978</v>
      </c>
      <c r="D140" s="172">
        <f>SUM(D130:D139)</f>
        <v>7.57</v>
      </c>
    </row>
    <row r="141" spans="1:4" x14ac:dyDescent="0.2">
      <c r="A141" s="5" t="s">
        <v>1067</v>
      </c>
      <c r="D141" s="168" t="str">
        <f>IF(D140&gt;=8,"A — STRONG BUY",IF(D140&gt;=7,"B+ — ATTRACTIVE",IF(D140&gt;=6,"B — MODERATE",IF(D140&gt;=5,"C — CAUTIOUS","D — PASS"))))</f>
        <v>B+ — ATTRACTIVE</v>
      </c>
    </row>
  </sheetData>
  <mergeCells count="6">
    <mergeCell ref="A1:K1"/>
    <mergeCell ref="A3:K3"/>
    <mergeCell ref="A15:K15"/>
    <mergeCell ref="A29:K29"/>
    <mergeCell ref="A40:K40"/>
    <mergeCell ref="A128:K128"/>
  </mergeCells>
  <conditionalFormatting sqref="B16:K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{C012134E-63D2-F547-867F-0602886CD013}</x14:id>
        </ext>
      </extLst>
    </cfRule>
  </conditionalFormatting>
  <conditionalFormatting sqref="B23:K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0:B13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{1B1CF88B-F2C8-D543-8D89-32C3CAD23715}</x14:id>
        </ext>
      </extLst>
    </cfRule>
  </conditionalFormatting>
  <conditionalFormatting sqref="D130:D1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12134E-63D2-F547-867F-0602886CD01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B16:K16</xm:sqref>
        </x14:conditionalFormatting>
        <x14:conditionalFormatting xmlns:xm="http://schemas.microsoft.com/office/excel/2006/main">
          <x14:cfRule type="dataBar" id="{1B1CF88B-F2C8-D543-8D89-32C3CAD23715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B130:B139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14D3-BA93-8F48-A443-6DAEA9A2B751}">
  <sheetPr>
    <tabColor rgb="FF808080"/>
  </sheetPr>
  <dimension ref="A1:K161"/>
  <sheetViews>
    <sheetView workbookViewId="0"/>
  </sheetViews>
  <sheetFormatPr baseColWidth="10" defaultRowHeight="16" x14ac:dyDescent="0.2"/>
  <sheetData>
    <row r="1" spans="1:11" x14ac:dyDescent="0.2">
      <c r="A1" t="s">
        <v>798</v>
      </c>
    </row>
    <row r="2" spans="1:11" x14ac:dyDescent="0.2">
      <c r="A2" t="s">
        <v>799</v>
      </c>
      <c r="B2" t="s">
        <v>259</v>
      </c>
      <c r="C2" t="s">
        <v>260</v>
      </c>
      <c r="D2" t="s">
        <v>261</v>
      </c>
      <c r="E2" t="s">
        <v>262</v>
      </c>
      <c r="F2" t="s">
        <v>263</v>
      </c>
      <c r="G2" t="s">
        <v>264</v>
      </c>
      <c r="H2" t="s">
        <v>265</v>
      </c>
      <c r="I2" t="s">
        <v>266</v>
      </c>
      <c r="J2" t="s">
        <v>267</v>
      </c>
      <c r="K2" t="s">
        <v>268</v>
      </c>
    </row>
    <row r="3" spans="1:11" x14ac:dyDescent="0.2">
      <c r="A3" t="s">
        <v>800</v>
      </c>
      <c r="B3">
        <f>'Revenue Build'!B74</f>
        <v>265097.44799999992</v>
      </c>
      <c r="C3">
        <f>'Revenue Build'!C74</f>
        <v>460846.94040000002</v>
      </c>
      <c r="D3">
        <f>'Revenue Build'!D74</f>
        <v>768382.19377919985</v>
      </c>
      <c r="E3">
        <f>'Revenue Build'!E74</f>
        <v>1000032.1884907201</v>
      </c>
      <c r="F3">
        <f>'Revenue Build'!F74</f>
        <v>1352494.438289074</v>
      </c>
      <c r="G3">
        <f>'Revenue Build'!G74</f>
        <v>1503162.3309637271</v>
      </c>
      <c r="H3">
        <f>'Revenue Build'!H74</f>
        <v>1665684.0003563988</v>
      </c>
      <c r="I3">
        <f>'Revenue Build'!I74</f>
        <v>1832755.8099915632</v>
      </c>
      <c r="J3">
        <f>'Revenue Build'!J74</f>
        <v>1933170.5677025933</v>
      </c>
      <c r="K3">
        <f>'Revenue Build'!K74</f>
        <v>2066507.0118649029</v>
      </c>
    </row>
    <row r="4" spans="1:11" x14ac:dyDescent="0.2">
      <c r="A4" t="s">
        <v>801</v>
      </c>
      <c r="B4">
        <f>'Revenue Build'!B75</f>
        <v>979.19999999999993</v>
      </c>
      <c r="C4">
        <f>'Revenue Build'!C75</f>
        <v>1815.4368000000002</v>
      </c>
      <c r="D4">
        <f>'Revenue Build'!D75</f>
        <v>63116.499839999997</v>
      </c>
      <c r="E4">
        <f>'Revenue Build'!E75</f>
        <v>118065.99345792001</v>
      </c>
      <c r="F4">
        <f>'Revenue Build'!F75</f>
        <v>205510.49113375999</v>
      </c>
      <c r="G4">
        <f>'Revenue Build'!G75</f>
        <v>281243.38645455008</v>
      </c>
      <c r="H4">
        <f>'Revenue Build'!H75</f>
        <v>367015.2960525672</v>
      </c>
      <c r="I4">
        <f>'Revenue Build'!I75</f>
        <v>462827.9011786562</v>
      </c>
      <c r="J4">
        <f>'Revenue Build'!J75</f>
        <v>552434.86459312437</v>
      </c>
      <c r="K4">
        <f>'Revenue Build'!K75</f>
        <v>708943.43731123919</v>
      </c>
    </row>
    <row r="5" spans="1:11" x14ac:dyDescent="0.2">
      <c r="A5" t="s">
        <v>802</v>
      </c>
      <c r="B5">
        <f>'Revenue Build'!B76</f>
        <v>131224</v>
      </c>
      <c r="C5">
        <f>'Revenue Build'!C76</f>
        <v>196891.08000000002</v>
      </c>
      <c r="D5">
        <f>'Revenue Build'!D76</f>
        <v>328246.35399999999</v>
      </c>
      <c r="E5">
        <f>'Revenue Build'!E76</f>
        <v>394012.49354399997</v>
      </c>
      <c r="F5">
        <f>'Revenue Build'!F76</f>
        <v>525510.49113375996</v>
      </c>
      <c r="G5">
        <f>'Revenue Build'!G76</f>
        <v>525675.80586777278</v>
      </c>
      <c r="H5">
        <f>'Revenue Build'!H76</f>
        <v>525846.080043806</v>
      </c>
      <c r="I5">
        <f>'Revenue Build'!I76</f>
        <v>526021.46244512009</v>
      </c>
      <c r="J5">
        <f>'Revenue Build'!J76</f>
        <v>526202.10631847382</v>
      </c>
      <c r="K5">
        <f>'Revenue Build'!K76</f>
        <v>526388.16950802796</v>
      </c>
    </row>
    <row r="6" spans="1:11" x14ac:dyDescent="0.2">
      <c r="A6" t="s">
        <v>803</v>
      </c>
      <c r="B6">
        <f>'Revenue Build'!B77</f>
        <v>187500</v>
      </c>
      <c r="C6">
        <f>'Revenue Build'!C77</f>
        <v>546000</v>
      </c>
      <c r="D6">
        <f>'Revenue Build'!D77</f>
        <v>910000</v>
      </c>
      <c r="E6">
        <f>'Revenue Build'!E77</f>
        <v>1365000</v>
      </c>
      <c r="F6">
        <f>'Revenue Build'!F77</f>
        <v>2047500</v>
      </c>
      <c r="G6">
        <f>'Revenue Build'!G77</f>
        <v>2366000</v>
      </c>
      <c r="H6">
        <f>'Revenue Build'!H77</f>
        <v>2639000</v>
      </c>
      <c r="I6">
        <f>'Revenue Build'!I77</f>
        <v>2957500</v>
      </c>
      <c r="J6">
        <f>'Revenue Build'!J77</f>
        <v>3276000</v>
      </c>
      <c r="K6">
        <f>'Revenue Build'!K77</f>
        <v>3640000</v>
      </c>
    </row>
    <row r="8" spans="1:11" x14ac:dyDescent="0.2">
      <c r="A8" t="s">
        <v>804</v>
      </c>
    </row>
    <row r="9" spans="1:11" x14ac:dyDescent="0.2">
      <c r="A9" t="s">
        <v>805</v>
      </c>
      <c r="B9" t="s">
        <v>259</v>
      </c>
      <c r="C9" t="s">
        <v>260</v>
      </c>
      <c r="D9" t="s">
        <v>261</v>
      </c>
      <c r="E9" t="s">
        <v>262</v>
      </c>
      <c r="F9" t="s">
        <v>263</v>
      </c>
      <c r="G9" t="s">
        <v>264</v>
      </c>
      <c r="H9" t="s">
        <v>265</v>
      </c>
      <c r="I9" t="s">
        <v>266</v>
      </c>
      <c r="J9" t="s">
        <v>267</v>
      </c>
      <c r="K9" t="s">
        <v>268</v>
      </c>
    </row>
    <row r="10" spans="1:11" x14ac:dyDescent="0.2">
      <c r="A10" t="s">
        <v>390</v>
      </c>
      <c r="B10">
        <f>'Margin Analysis'!B44</f>
        <v>0.49649978335865308</v>
      </c>
      <c r="C10">
        <f>'Margin Analysis'!C44</f>
        <v>0.51695192140501622</v>
      </c>
      <c r="D10">
        <f>'Margin Analysis'!D44</f>
        <v>0.53140400386800424</v>
      </c>
      <c r="E10">
        <f>'Margin Analysis'!E44</f>
        <v>0.53951524116999794</v>
      </c>
      <c r="F10">
        <f>'Margin Analysis'!F44</f>
        <v>0.54815337061449176</v>
      </c>
      <c r="G10">
        <f>'Margin Analysis'!G44</f>
        <v>0.55170929909724564</v>
      </c>
      <c r="H10">
        <f>'Margin Analysis'!H44</f>
        <v>0.55609957795886389</v>
      </c>
      <c r="I10">
        <f>'Margin Analysis'!I44</f>
        <v>0.56032547979515201</v>
      </c>
      <c r="J10">
        <f>'Margin Analysis'!J44</f>
        <v>0.56411878440347629</v>
      </c>
      <c r="K10">
        <f>'Margin Analysis'!K44</f>
        <v>0.57362193015801088</v>
      </c>
    </row>
    <row r="11" spans="1:11" x14ac:dyDescent="0.2">
      <c r="A11" t="s">
        <v>432</v>
      </c>
      <c r="B11">
        <f>'Margin Analysis'!B48</f>
        <v>-1.2237445485183529</v>
      </c>
      <c r="C11">
        <f>'Margin Analysis'!C48</f>
        <v>-0.54028033352978377</v>
      </c>
      <c r="D11">
        <f>'Margin Analysis'!D48</f>
        <v>-0.10622887826792669</v>
      </c>
      <c r="E11">
        <f>'Margin Analysis'!E48</f>
        <v>-1.9499910401785552E-3</v>
      </c>
      <c r="F11">
        <f>'Margin Analysis'!F48</f>
        <v>0.1578729249213667</v>
      </c>
      <c r="G11">
        <f>'Margin Analysis'!G48</f>
        <v>0.19485734543682992</v>
      </c>
      <c r="H11">
        <f>'Margin Analysis'!H48</f>
        <v>0.1835896934892256</v>
      </c>
      <c r="I11">
        <f>'Margin Analysis'!I48</f>
        <v>0.21371601145990185</v>
      </c>
      <c r="J11">
        <f>'Margin Analysis'!J48</f>
        <v>0.19925629397534816</v>
      </c>
      <c r="K11">
        <f>'Margin Analysis'!K48</f>
        <v>0.23181170425343259</v>
      </c>
    </row>
    <row r="12" spans="1:11" x14ac:dyDescent="0.2">
      <c r="A12" t="s">
        <v>445</v>
      </c>
      <c r="B12">
        <f>'Margin Analysis'!B60</f>
        <v>-1.353744548518353</v>
      </c>
      <c r="C12">
        <f>'Margin Analysis'!C60</f>
        <v>-0.63147321837401138</v>
      </c>
      <c r="D12">
        <f>'Margin Analysis'!D60</f>
        <v>-0.18963170114848457</v>
      </c>
      <c r="E12">
        <f>'Margin Analysis'!E60</f>
        <v>-7.4399336065397573E-2</v>
      </c>
      <c r="F12">
        <f>'Margin Analysis'!F60</f>
        <v>5.1621952187339094E-2</v>
      </c>
      <c r="G12">
        <f>'Margin Analysis'!G60</f>
        <v>9.4317832003354155E-2</v>
      </c>
      <c r="H12">
        <f>'Margin Analysis'!H60</f>
        <v>8.7165960535797504E-2</v>
      </c>
      <c r="I12">
        <f>'Margin Analysis'!I60</f>
        <v>0.10973649171120266</v>
      </c>
      <c r="J12">
        <f>'Margin Analysis'!J60</f>
        <v>0.10046998211384674</v>
      </c>
      <c r="K12">
        <f>'Margin Analysis'!K60</f>
        <v>0.12382151187207469</v>
      </c>
    </row>
    <row r="14" spans="1:11" x14ac:dyDescent="0.2">
      <c r="A14" t="s">
        <v>806</v>
      </c>
    </row>
    <row r="15" spans="1:11" x14ac:dyDescent="0.2">
      <c r="A15" t="s">
        <v>805</v>
      </c>
      <c r="B15" t="s">
        <v>259</v>
      </c>
      <c r="C15" t="s">
        <v>260</v>
      </c>
      <c r="D15" t="s">
        <v>261</v>
      </c>
      <c r="E15" t="s">
        <v>262</v>
      </c>
      <c r="F15" t="s">
        <v>263</v>
      </c>
      <c r="G15" t="s">
        <v>264</v>
      </c>
      <c r="H15" t="s">
        <v>265</v>
      </c>
      <c r="I15" t="s">
        <v>266</v>
      </c>
      <c r="J15" t="s">
        <v>267</v>
      </c>
      <c r="K15" t="s">
        <v>268</v>
      </c>
    </row>
    <row r="16" spans="1:11" x14ac:dyDescent="0.2">
      <c r="A16" t="s">
        <v>387</v>
      </c>
      <c r="B16">
        <f>'Revenue Build'!B78</f>
        <v>584800.64799999993</v>
      </c>
      <c r="C16">
        <f>'Revenue Build'!C78</f>
        <v>1205553.4572000001</v>
      </c>
      <c r="D16">
        <f>'Revenue Build'!D78</f>
        <v>2069745.0476191998</v>
      </c>
      <c r="E16">
        <f>'Revenue Build'!E78</f>
        <v>2877110.6754926401</v>
      </c>
      <c r="F16">
        <f>'Revenue Build'!F78</f>
        <v>4131015.4205565937</v>
      </c>
      <c r="G16">
        <f>'Revenue Build'!G78</f>
        <v>4676081.5232860502</v>
      </c>
      <c r="H16">
        <f>'Revenue Build'!H78</f>
        <v>5197545.3764527719</v>
      </c>
      <c r="I16">
        <f>'Revenue Build'!I78</f>
        <v>5779105.1736153392</v>
      </c>
      <c r="J16">
        <f>'Revenue Build'!J78</f>
        <v>6287807.5386141911</v>
      </c>
      <c r="K16">
        <f>'Revenue Build'!K78</f>
        <v>6941838.6186841698</v>
      </c>
    </row>
    <row r="17" spans="1:11" x14ac:dyDescent="0.2">
      <c r="A17" t="s">
        <v>406</v>
      </c>
      <c r="B17">
        <f>'Margin Analysis'!B47</f>
        <v>-715646.60496000014</v>
      </c>
      <c r="C17">
        <f>'Margin Analysis'!C47</f>
        <v>-651336.82394399995</v>
      </c>
      <c r="D17">
        <f>'Margin Analysis'!D47</f>
        <v>-219866.69470918411</v>
      </c>
      <c r="E17">
        <f>'Margin Analysis'!E47</f>
        <v>-5610.3400388127193</v>
      </c>
      <c r="F17">
        <f>'Margin Analysis'!F47</f>
        <v>652175.48733853921</v>
      </c>
      <c r="G17">
        <f>'Margin Analysis'!G47</f>
        <v>911168.83267372777</v>
      </c>
      <c r="H17">
        <f>'Margin Analysis'!H47</f>
        <v>954215.76255930611</v>
      </c>
      <c r="I17">
        <f>'Margin Analysis'!I47</f>
        <v>1235087.3075123539</v>
      </c>
      <c r="J17">
        <f>'Margin Analysis'!J47</f>
        <v>1252885.2273745197</v>
      </c>
      <c r="K17">
        <f>'Margin Analysis'!K47</f>
        <v>1609199.4408494718</v>
      </c>
    </row>
    <row r="18" spans="1:11" x14ac:dyDescent="0.2">
      <c r="A18" t="s">
        <v>584</v>
      </c>
      <c r="B18">
        <f>'Margin Analysis'!B59</f>
        <v>-791670.68920000014</v>
      </c>
      <c r="C18">
        <f>'Margin Analysis'!C59</f>
        <v>-761274.72154000006</v>
      </c>
      <c r="D18">
        <f>'Margin Analysis'!D59</f>
        <v>-392489.27432368009</v>
      </c>
      <c r="E18">
        <f>'Margin Analysis'!E59</f>
        <v>-214055.12404331996</v>
      </c>
      <c r="F18">
        <f>'Margin Analysis'!F59</f>
        <v>213251.08052513297</v>
      </c>
      <c r="G18">
        <f>'Margin Analysis'!G59</f>
        <v>441037.87154728209</v>
      </c>
      <c r="H18">
        <f>'Margin Analysis'!H59</f>
        <v>453049.03516689909</v>
      </c>
      <c r="I18">
        <f>'Margin Analysis'!I59</f>
        <v>634178.72698260809</v>
      </c>
      <c r="J18">
        <f>'Margin Analysis'!J59</f>
        <v>631735.91093987843</v>
      </c>
      <c r="K18">
        <f>'Margin Analysis'!K59</f>
        <v>859548.95293742849</v>
      </c>
    </row>
    <row r="20" spans="1:11" x14ac:dyDescent="0.2">
      <c r="A20" t="s">
        <v>807</v>
      </c>
      <c r="D20" t="s">
        <v>808</v>
      </c>
      <c r="G20" t="s">
        <v>1051</v>
      </c>
      <c r="H20" t="s">
        <v>3</v>
      </c>
    </row>
    <row r="21" spans="1:11" x14ac:dyDescent="0.2">
      <c r="A21" t="s">
        <v>799</v>
      </c>
      <c r="B21" t="s">
        <v>387</v>
      </c>
      <c r="D21" t="s">
        <v>799</v>
      </c>
      <c r="E21" t="s">
        <v>387</v>
      </c>
      <c r="G21" t="s">
        <v>800</v>
      </c>
      <c r="H21">
        <f>'DCF Valuation'!E57</f>
        <v>9299281.553392062</v>
      </c>
    </row>
    <row r="22" spans="1:11" x14ac:dyDescent="0.2">
      <c r="A22" t="s">
        <v>800</v>
      </c>
      <c r="B22">
        <f>'Revenue Build'!F74</f>
        <v>1352494.438289074</v>
      </c>
      <c r="D22" t="s">
        <v>800</v>
      </c>
      <c r="E22">
        <f>'Revenue Build'!K74</f>
        <v>2066507.0118649029</v>
      </c>
      <c r="G22" t="s">
        <v>801</v>
      </c>
      <c r="H22">
        <f>'DCF Valuation'!E58</f>
        <v>1417886.8746224786</v>
      </c>
    </row>
    <row r="23" spans="1:11" x14ac:dyDescent="0.2">
      <c r="A23" t="s">
        <v>801</v>
      </c>
      <c r="B23">
        <f>'Revenue Build'!F75</f>
        <v>205510.49113375999</v>
      </c>
      <c r="D23" t="s">
        <v>801</v>
      </c>
      <c r="E23">
        <f>'Revenue Build'!K75</f>
        <v>708943.43731123919</v>
      </c>
      <c r="G23" t="s">
        <v>802</v>
      </c>
      <c r="H23">
        <f>'DCF Valuation'!E59</f>
        <v>631665.80340963358</v>
      </c>
    </row>
    <row r="24" spans="1:11" x14ac:dyDescent="0.2">
      <c r="A24" t="s">
        <v>802</v>
      </c>
      <c r="B24">
        <f>'Revenue Build'!F76</f>
        <v>525510.49113375996</v>
      </c>
      <c r="D24" t="s">
        <v>802</v>
      </c>
      <c r="E24">
        <f>'Revenue Build'!K76</f>
        <v>526388.16950802796</v>
      </c>
      <c r="G24" t="s">
        <v>803</v>
      </c>
      <c r="H24">
        <f>'DCF Valuation'!E60</f>
        <v>7280000</v>
      </c>
    </row>
    <row r="25" spans="1:11" x14ac:dyDescent="0.2">
      <c r="A25" t="s">
        <v>803</v>
      </c>
      <c r="B25">
        <f>'Revenue Build'!F77</f>
        <v>2047500</v>
      </c>
      <c r="D25" t="s">
        <v>803</v>
      </c>
      <c r="E25">
        <f>'Revenue Build'!K77</f>
        <v>3640000</v>
      </c>
    </row>
    <row r="27" spans="1:11" x14ac:dyDescent="0.2">
      <c r="A27" t="s">
        <v>809</v>
      </c>
    </row>
    <row r="28" spans="1:11" x14ac:dyDescent="0.2">
      <c r="A28" t="s">
        <v>810</v>
      </c>
      <c r="B28" t="s">
        <v>259</v>
      </c>
      <c r="C28" t="s">
        <v>260</v>
      </c>
      <c r="D28" t="s">
        <v>261</v>
      </c>
      <c r="E28" t="s">
        <v>262</v>
      </c>
      <c r="F28" t="s">
        <v>263</v>
      </c>
      <c r="G28" t="s">
        <v>264</v>
      </c>
      <c r="H28" t="s">
        <v>265</v>
      </c>
      <c r="I28" t="s">
        <v>266</v>
      </c>
      <c r="J28" t="s">
        <v>267</v>
      </c>
      <c r="K28" t="s">
        <v>268</v>
      </c>
    </row>
    <row r="29" spans="1:11" x14ac:dyDescent="0.2">
      <c r="A29" t="s">
        <v>811</v>
      </c>
      <c r="B29">
        <f>'Cost Build'!B53</f>
        <v>906700</v>
      </c>
      <c r="C29">
        <f>'Cost Build'!C53</f>
        <v>1170285</v>
      </c>
      <c r="D29">
        <f>'Cost Build'!D53</f>
        <v>1210259.25</v>
      </c>
      <c r="E29">
        <f>'Cost Build'!E53</f>
        <v>1442903.2375000003</v>
      </c>
      <c r="F29">
        <f>'Cost Build'!F53</f>
        <v>1491554.7688749998</v>
      </c>
      <c r="G29">
        <f>'Cost Build'!G53</f>
        <v>1541934.0679037496</v>
      </c>
      <c r="H29">
        <f>'Cost Build'!H53</f>
        <v>1803065.5305940621</v>
      </c>
      <c r="I29">
        <f>'Cost Build'!I53</f>
        <v>1863367.4997105405</v>
      </c>
      <c r="J29">
        <f>'Cost Build'!J53</f>
        <v>2147473.7923032781</v>
      </c>
      <c r="K29">
        <f>'Cost Build'!K53</f>
        <v>2218744.5345988953</v>
      </c>
    </row>
    <row r="30" spans="1:11" x14ac:dyDescent="0.2">
      <c r="A30" t="s">
        <v>812</v>
      </c>
      <c r="B30">
        <f>'Cost Build'!B54</f>
        <v>393747.25296000001</v>
      </c>
      <c r="C30">
        <f>'Cost Build'!C54</f>
        <v>686605.28114400001</v>
      </c>
      <c r="D30">
        <f>'Cost Build'!D54</f>
        <v>1079352.492328384</v>
      </c>
      <c r="E30">
        <f>'Cost Build'!E54</f>
        <v>1439817.7780314528</v>
      </c>
      <c r="F30">
        <f>'Cost Build'!F54</f>
        <v>1987285.1643430542</v>
      </c>
      <c r="G30">
        <f>'Cost Build'!G54</f>
        <v>2222978.622708573</v>
      </c>
      <c r="H30">
        <f>'Cost Build'!H54</f>
        <v>2440264.0832994035</v>
      </c>
      <c r="I30">
        <f>'Cost Build'!I54</f>
        <v>2680650.3663924448</v>
      </c>
      <c r="J30">
        <f>'Cost Build'!J54</f>
        <v>2887448.5189363933</v>
      </c>
      <c r="K30">
        <f>'Cost Build'!K54</f>
        <v>3113894.6432358027</v>
      </c>
    </row>
    <row r="32" spans="1:11" x14ac:dyDescent="0.2">
      <c r="A32" t="s">
        <v>813</v>
      </c>
    </row>
    <row r="33" spans="1:11" x14ac:dyDescent="0.2">
      <c r="A33" t="s">
        <v>805</v>
      </c>
      <c r="B33" t="s">
        <v>259</v>
      </c>
      <c r="C33" t="s">
        <v>260</v>
      </c>
      <c r="D33" t="s">
        <v>261</v>
      </c>
      <c r="E33" t="s">
        <v>262</v>
      </c>
      <c r="F33" t="s">
        <v>263</v>
      </c>
      <c r="G33" t="s">
        <v>264</v>
      </c>
      <c r="H33" t="s">
        <v>265</v>
      </c>
      <c r="I33" t="s">
        <v>266</v>
      </c>
      <c r="J33" t="s">
        <v>267</v>
      </c>
      <c r="K33" t="s">
        <v>268</v>
      </c>
    </row>
    <row r="34" spans="1:11" x14ac:dyDescent="0.2">
      <c r="A34" t="s">
        <v>387</v>
      </c>
      <c r="B34">
        <f>'Revenue Build'!B78</f>
        <v>584800.64799999993</v>
      </c>
      <c r="C34">
        <f>'Revenue Build'!C78</f>
        <v>1205553.4572000001</v>
      </c>
      <c r="D34">
        <f>'Revenue Build'!D78</f>
        <v>2069745.0476191998</v>
      </c>
      <c r="E34">
        <f>'Revenue Build'!E78</f>
        <v>2877110.6754926401</v>
      </c>
      <c r="F34">
        <f>'Revenue Build'!F78</f>
        <v>4131015.4205565937</v>
      </c>
      <c r="G34">
        <f>'Revenue Build'!G78</f>
        <v>4676081.5232860502</v>
      </c>
      <c r="H34">
        <f>'Revenue Build'!H78</f>
        <v>5197545.3764527719</v>
      </c>
      <c r="I34">
        <f>'Revenue Build'!I78</f>
        <v>5779105.1736153392</v>
      </c>
      <c r="J34">
        <f>'Revenue Build'!J78</f>
        <v>6287807.5386141911</v>
      </c>
      <c r="K34">
        <f>'Revenue Build'!K78</f>
        <v>6941838.6186841698</v>
      </c>
    </row>
    <row r="35" spans="1:11" x14ac:dyDescent="0.2">
      <c r="A35" t="s">
        <v>811</v>
      </c>
      <c r="B35">
        <f>'Cost Build'!B53</f>
        <v>906700</v>
      </c>
      <c r="C35">
        <f>'Cost Build'!C53</f>
        <v>1170285</v>
      </c>
      <c r="D35">
        <f>'Cost Build'!D53</f>
        <v>1210259.25</v>
      </c>
      <c r="E35">
        <f>'Cost Build'!E53</f>
        <v>1442903.2375000003</v>
      </c>
      <c r="F35">
        <f>'Cost Build'!F53</f>
        <v>1491554.7688749998</v>
      </c>
      <c r="G35">
        <f>'Cost Build'!G53</f>
        <v>1541934.0679037496</v>
      </c>
      <c r="H35">
        <f>'Cost Build'!H53</f>
        <v>1803065.5305940621</v>
      </c>
      <c r="I35">
        <f>'Cost Build'!I53</f>
        <v>1863367.4997105405</v>
      </c>
      <c r="J35">
        <f>'Cost Build'!J53</f>
        <v>2147473.7923032781</v>
      </c>
      <c r="K35">
        <f>'Cost Build'!K53</f>
        <v>2218744.5345988953</v>
      </c>
    </row>
    <row r="36" spans="1:11" x14ac:dyDescent="0.2">
      <c r="A36" t="s">
        <v>814</v>
      </c>
      <c r="B36">
        <f>'Cost Build'!B56</f>
        <v>0.64497700231609123</v>
      </c>
      <c r="C36">
        <f>'Cost Build'!C56</f>
        <v>1.0301366395365232</v>
      </c>
      <c r="D36">
        <f>'Cost Build'!D56</f>
        <v>1.7101666833938265</v>
      </c>
      <c r="E36">
        <f>'Cost Build'!E56</f>
        <v>1.9939734007926775</v>
      </c>
      <c r="F36">
        <f>'Cost Build'!F56</f>
        <v>2.7696035752494681</v>
      </c>
      <c r="G36">
        <f>'Cost Build'!G56</f>
        <v>3.0326079568649491</v>
      </c>
      <c r="H36">
        <f>'Cost Build'!H56</f>
        <v>2.882615905113731</v>
      </c>
      <c r="I36">
        <f>'Cost Build'!I56</f>
        <v>3.1014307024851928</v>
      </c>
      <c r="J36">
        <f>'Cost Build'!J56</f>
        <v>2.9280019905948134</v>
      </c>
      <c r="K36">
        <f>'Cost Build'!K56</f>
        <v>3.1287237040739866</v>
      </c>
    </row>
    <row r="38" spans="1:11" x14ac:dyDescent="0.2">
      <c r="A38" t="s">
        <v>815</v>
      </c>
    </row>
    <row r="39" spans="1:11" x14ac:dyDescent="0.2">
      <c r="A39" t="s">
        <v>805</v>
      </c>
      <c r="B39" t="s">
        <v>777</v>
      </c>
      <c r="C39" t="s">
        <v>778</v>
      </c>
      <c r="D39" t="s">
        <v>779</v>
      </c>
      <c r="E39" t="s">
        <v>780</v>
      </c>
    </row>
    <row r="40" spans="1:11" x14ac:dyDescent="0.2">
      <c r="A40" t="s">
        <v>387</v>
      </c>
      <c r="B40">
        <f>'Scenario Analysis'!B21</f>
        <v>4131015.4205565937</v>
      </c>
      <c r="C40">
        <f>'Scenario Analysis'!C21</f>
        <v>5783421.5887792306</v>
      </c>
      <c r="D40">
        <f>'Scenario Analysis'!D21</f>
        <v>2478609.2523339563</v>
      </c>
      <c r="E40">
        <f>'Scenario Analysis'!E21</f>
        <v>1445855.3971948077</v>
      </c>
    </row>
    <row r="41" spans="1:11" x14ac:dyDescent="0.2">
      <c r="A41" t="s">
        <v>406</v>
      </c>
      <c r="B41">
        <f>'Scenario Analysis'!B28</f>
        <v>652175.48733853921</v>
      </c>
      <c r="C41">
        <f>'Scenario Analysis'!C28</f>
        <v>1619358.0448581846</v>
      </c>
      <c r="D41">
        <f>'Scenario Analysis'!D28</f>
        <v>123930.46261669783</v>
      </c>
      <c r="E41">
        <f>'Scenario Analysis'!E28</f>
        <v>-144585.53971948076</v>
      </c>
    </row>
    <row r="42" spans="1:11" x14ac:dyDescent="0.2">
      <c r="A42" t="s">
        <v>816</v>
      </c>
      <c r="B42">
        <f>'Scenario Analysis'!B30</f>
        <v>213251.08052513297</v>
      </c>
      <c r="C42">
        <f>'Scenario Analysis'!C30</f>
        <v>1052582.7291578201</v>
      </c>
      <c r="D42">
        <f>'Scenario Analysis'!D30</f>
        <v>37179.138785009345</v>
      </c>
      <c r="E42">
        <f>'Scenario Analysis'!E30</f>
        <v>-72292.76985974038</v>
      </c>
    </row>
    <row r="43" spans="1:11" x14ac:dyDescent="0.2">
      <c r="A43" t="s">
        <v>781</v>
      </c>
      <c r="B43">
        <f>'Scenario Analysis'!B35</f>
        <v>7826105.8480624706</v>
      </c>
      <c r="C43">
        <f>'Scenario Analysis'!C35</f>
        <v>22671012.628014587</v>
      </c>
      <c r="D43">
        <f>'Scenario Analysis'!D35</f>
        <v>991443.70093358262</v>
      </c>
      <c r="E43">
        <f>'Scenario Analysis'!E35</f>
        <v>0</v>
      </c>
    </row>
    <row r="45" spans="1:11" x14ac:dyDescent="0.2">
      <c r="A45" t="s">
        <v>817</v>
      </c>
    </row>
    <row r="46" spans="1:11" x14ac:dyDescent="0.2">
      <c r="A46" t="s">
        <v>818</v>
      </c>
      <c r="B46" t="s">
        <v>819</v>
      </c>
      <c r="C46" t="s">
        <v>820</v>
      </c>
    </row>
    <row r="47" spans="1:11" x14ac:dyDescent="0.2">
      <c r="A47" t="s">
        <v>821</v>
      </c>
      <c r="B47">
        <f>'Unit Economics'!F14</f>
        <v>10.72335948408</v>
      </c>
      <c r="C47">
        <f>'Unit Economics'!F15</f>
        <v>3.7301743039934805</v>
      </c>
    </row>
    <row r="48" spans="1:11" x14ac:dyDescent="0.2">
      <c r="A48" t="s">
        <v>822</v>
      </c>
      <c r="B48">
        <f>'Unit Economics'!F43</f>
        <v>91.000000000000014</v>
      </c>
      <c r="C48">
        <v>6</v>
      </c>
    </row>
    <row r="50" spans="1:11" x14ac:dyDescent="0.2">
      <c r="A50" t="s">
        <v>823</v>
      </c>
    </row>
    <row r="51" spans="1:11" x14ac:dyDescent="0.2">
      <c r="A51" t="s">
        <v>799</v>
      </c>
      <c r="B51" t="s">
        <v>259</v>
      </c>
      <c r="C51" t="s">
        <v>260</v>
      </c>
      <c r="D51" t="s">
        <v>261</v>
      </c>
      <c r="E51" t="s">
        <v>262</v>
      </c>
      <c r="F51" t="s">
        <v>263</v>
      </c>
      <c r="G51" t="s">
        <v>264</v>
      </c>
      <c r="H51" t="s">
        <v>265</v>
      </c>
      <c r="I51" t="s">
        <v>266</v>
      </c>
      <c r="J51" t="s">
        <v>267</v>
      </c>
      <c r="K51" t="s">
        <v>268</v>
      </c>
    </row>
    <row r="52" spans="1:11" x14ac:dyDescent="0.2">
      <c r="A52" t="s">
        <v>824</v>
      </c>
      <c r="B52">
        <f>'Margin Analysis'!B8</f>
        <v>0.77602108036890638</v>
      </c>
      <c r="C52">
        <f>'Margin Analysis'!C8</f>
        <v>0.77882198390743618</v>
      </c>
      <c r="D52">
        <f>'Margin Analysis'!D8</f>
        <v>0.78138569225581245</v>
      </c>
      <c r="E52">
        <f>'Margin Analysis'!E8</f>
        <v>0.78373355926872046</v>
      </c>
      <c r="F52">
        <f>'Margin Analysis'!F8</f>
        <v>0.78588445385900563</v>
      </c>
      <c r="G52">
        <f>'Margin Analysis'!G8</f>
        <v>0.78630236637139828</v>
      </c>
      <c r="H52">
        <f>'Margin Analysis'!H8</f>
        <v>0.78717951389312957</v>
      </c>
      <c r="I52">
        <f>'Margin Analysis'!I8</f>
        <v>0.78749586342756428</v>
      </c>
      <c r="J52">
        <f>'Margin Analysis'!J8</f>
        <v>0.78730224354465073</v>
      </c>
      <c r="K52">
        <f>'Margin Analysis'!K8</f>
        <v>0.78755892116752557</v>
      </c>
    </row>
    <row r="53" spans="1:11" x14ac:dyDescent="0.2">
      <c r="A53" t="s">
        <v>825</v>
      </c>
      <c r="B53">
        <f>'Margin Analysis'!B17</f>
        <v>-97.039215686274517</v>
      </c>
      <c r="C53">
        <f>'Margin Analysis'!C17</f>
        <v>-94.183704549781069</v>
      </c>
      <c r="D53">
        <f>'Margin Analysis'!D17</f>
        <v>-3.5629906716956503</v>
      </c>
      <c r="E53">
        <f>'Margin Analysis'!E17</f>
        <v>-2.0897974032634439</v>
      </c>
      <c r="F53">
        <f>'Margin Analysis'!F17</f>
        <v>-1.3356471844913449</v>
      </c>
      <c r="G53">
        <f>'Margin Analysis'!G17</f>
        <v>-0.8773774795423559</v>
      </c>
      <c r="H53">
        <f>'Margin Analysis'!H17</f>
        <v>-0.56941687770283056</v>
      </c>
      <c r="I53">
        <f>'Margin Analysis'!I17</f>
        <v>-0.34823332476476987</v>
      </c>
      <c r="J53">
        <f>'Margin Analysis'!J17</f>
        <v>-0.18167777205878541</v>
      </c>
      <c r="K53">
        <f>'Margin Analysis'!K17</f>
        <v>5.2110556875104193E-2</v>
      </c>
    </row>
    <row r="54" spans="1:11" x14ac:dyDescent="0.2">
      <c r="A54" t="s">
        <v>826</v>
      </c>
      <c r="B54">
        <f>'Margin Analysis'!B26</f>
        <v>0.77138328354569285</v>
      </c>
      <c r="C54">
        <f>'Margin Analysis'!C26</f>
        <v>0.77144723874743337</v>
      </c>
      <c r="D54">
        <f>'Margin Analysis'!D26</f>
        <v>0.77151307520692214</v>
      </c>
      <c r="E54">
        <f>'Margin Analysis'!E26</f>
        <v>0.77158084711862174</v>
      </c>
      <c r="F54">
        <f>'Margin Analysis'!F26</f>
        <v>0.77165061016934866</v>
      </c>
      <c r="G54">
        <f>'Margin Analysis'!G26</f>
        <v>0.77172242157520088</v>
      </c>
      <c r="H54">
        <f>'Margin Analysis'!H26</f>
        <v>0.77179634011914033</v>
      </c>
      <c r="I54">
        <f>'Margin Analysis'!I26</f>
        <v>0.7718724261892268</v>
      </c>
      <c r="J54">
        <f>'Margin Analysis'!J26</f>
        <v>0.77195074181749423</v>
      </c>
      <c r="K54">
        <f>'Margin Analysis'!K26</f>
        <v>0.77203135071946205</v>
      </c>
    </row>
    <row r="55" spans="1:11" x14ac:dyDescent="0.2">
      <c r="A55" t="s">
        <v>827</v>
      </c>
      <c r="B55">
        <f>'Margin Analysis'!B35</f>
        <v>0.48066666666666669</v>
      </c>
      <c r="C55">
        <f>'Margin Analysis'!C35</f>
        <v>0.56318681318681318</v>
      </c>
      <c r="D55">
        <f>'Margin Analysis'!D35</f>
        <v>0.56318681318681318</v>
      </c>
      <c r="E55">
        <f>'Margin Analysis'!E35</f>
        <v>0.56318681318681318</v>
      </c>
      <c r="F55">
        <f>'Margin Analysis'!F35</f>
        <v>0.56318681318681318</v>
      </c>
      <c r="G55">
        <f>'Margin Analysis'!G35</f>
        <v>0.56318681318681318</v>
      </c>
      <c r="H55">
        <f>'Margin Analysis'!H35</f>
        <v>0.56318681318681318</v>
      </c>
      <c r="I55">
        <f>'Margin Analysis'!I35</f>
        <v>0.56318681318681318</v>
      </c>
      <c r="J55">
        <f>'Margin Analysis'!J35</f>
        <v>0.56318681318681318</v>
      </c>
      <c r="K55">
        <f>'Margin Analysis'!K35</f>
        <v>0.56318681318681318</v>
      </c>
    </row>
    <row r="56" spans="1:11" x14ac:dyDescent="0.2">
      <c r="A56" t="s">
        <v>828</v>
      </c>
      <c r="B56">
        <f>'Margin Analysis'!B44</f>
        <v>0.49649978335865308</v>
      </c>
      <c r="C56">
        <f>'Margin Analysis'!C44</f>
        <v>0.51695192140501622</v>
      </c>
      <c r="D56">
        <f>'Margin Analysis'!D44</f>
        <v>0.53140400386800424</v>
      </c>
      <c r="E56">
        <f>'Margin Analysis'!E44</f>
        <v>0.53951524116999794</v>
      </c>
      <c r="F56">
        <f>'Margin Analysis'!F44</f>
        <v>0.54815337061449176</v>
      </c>
      <c r="G56">
        <f>'Margin Analysis'!G44</f>
        <v>0.55170929909724564</v>
      </c>
      <c r="H56">
        <f>'Margin Analysis'!H44</f>
        <v>0.55609957795886389</v>
      </c>
      <c r="I56">
        <f>'Margin Analysis'!I44</f>
        <v>0.56032547979515201</v>
      </c>
      <c r="J56">
        <f>'Margin Analysis'!J44</f>
        <v>0.56411878440347629</v>
      </c>
      <c r="K56">
        <f>'Margin Analysis'!K44</f>
        <v>0.57362193015801088</v>
      </c>
    </row>
    <row r="58" spans="1:11" x14ac:dyDescent="0.2">
      <c r="A58" t="s">
        <v>829</v>
      </c>
    </row>
    <row r="59" spans="1:11" x14ac:dyDescent="0.2">
      <c r="A59" t="s">
        <v>739</v>
      </c>
      <c r="B59" t="s">
        <v>259</v>
      </c>
      <c r="C59" t="s">
        <v>260</v>
      </c>
      <c r="D59" t="s">
        <v>261</v>
      </c>
      <c r="E59" t="s">
        <v>262</v>
      </c>
      <c r="F59" t="s">
        <v>263</v>
      </c>
      <c r="G59" t="s">
        <v>264</v>
      </c>
      <c r="H59" t="s">
        <v>265</v>
      </c>
      <c r="I59" t="s">
        <v>266</v>
      </c>
      <c r="J59" t="s">
        <v>267</v>
      </c>
      <c r="K59" t="s">
        <v>268</v>
      </c>
    </row>
    <row r="60" spans="1:11" x14ac:dyDescent="0.2">
      <c r="A60" t="s">
        <v>274</v>
      </c>
      <c r="B60">
        <f>'Revenue Build'!B9</f>
        <v>66.149999999999991</v>
      </c>
      <c r="C60">
        <f>'Revenue Build'!C9</f>
        <v>110.25</v>
      </c>
      <c r="D60">
        <f>'Revenue Build'!D9</f>
        <v>176.39999999999998</v>
      </c>
      <c r="E60">
        <f>'Revenue Build'!E9</f>
        <v>220.5</v>
      </c>
      <c r="F60">
        <f>'Revenue Build'!F9</f>
        <v>286.64999999999998</v>
      </c>
      <c r="G60">
        <f>'Revenue Build'!G9</f>
        <v>308.7</v>
      </c>
      <c r="H60">
        <f>'Revenue Build'!H9</f>
        <v>330.75</v>
      </c>
      <c r="I60">
        <f>'Revenue Build'!I9</f>
        <v>352.79999999999995</v>
      </c>
      <c r="J60">
        <f>'Revenue Build'!J9</f>
        <v>361.62</v>
      </c>
      <c r="K60">
        <f>'Revenue Build'!K9</f>
        <v>374.84999999999997</v>
      </c>
    </row>
    <row r="61" spans="1:11" x14ac:dyDescent="0.2">
      <c r="A61" t="s">
        <v>830</v>
      </c>
      <c r="B61">
        <f>'Revenue Build'!B12/1000</f>
        <v>23.284799999999997</v>
      </c>
      <c r="C61">
        <f>'Revenue Build'!C12/1000</f>
        <v>38.808</v>
      </c>
      <c r="D61">
        <f>'Revenue Build'!D12/1000</f>
        <v>62.09279999999999</v>
      </c>
      <c r="E61">
        <f>'Revenue Build'!E12/1000</f>
        <v>77.616</v>
      </c>
      <c r="F61">
        <f>'Revenue Build'!F12/1000</f>
        <v>100.90079999999999</v>
      </c>
      <c r="G61">
        <f>'Revenue Build'!G12/1000</f>
        <v>108.66239999999999</v>
      </c>
      <c r="H61">
        <f>'Revenue Build'!H12/1000</f>
        <v>116.42400000000001</v>
      </c>
      <c r="I61">
        <f>'Revenue Build'!I12/1000</f>
        <v>124.18559999999998</v>
      </c>
      <c r="J61">
        <f>'Revenue Build'!J12/1000</f>
        <v>127.29024000000001</v>
      </c>
      <c r="K61">
        <f>'Revenue Build'!K12/1000</f>
        <v>131.94719999999998</v>
      </c>
    </row>
    <row r="62" spans="1:11" x14ac:dyDescent="0.2">
      <c r="A62" t="s">
        <v>831</v>
      </c>
      <c r="B62">
        <f>'Revenue Build'!B14/1000</f>
        <v>1979.2079999999996</v>
      </c>
      <c r="C62">
        <f>'Revenue Build'!C14/1000</f>
        <v>3397.6403999999998</v>
      </c>
      <c r="D62">
        <f>'Revenue Build'!D14/1000</f>
        <v>5599.3113791999995</v>
      </c>
      <c r="E62">
        <f>'Revenue Build'!E14/1000</f>
        <v>7209.1134007200008</v>
      </c>
      <c r="F62">
        <f>'Revenue Build'!F14/1000</f>
        <v>9653.0028435640797</v>
      </c>
      <c r="G62">
        <f>'Revenue Build'!G14/1000</f>
        <v>10707.407769553389</v>
      </c>
      <c r="H62">
        <f>'Revenue Build'!H14/1000</f>
        <v>11816.389288542849</v>
      </c>
      <c r="I62">
        <f>'Revenue Build'!I14/1000</f>
        <v>12982.273031679073</v>
      </c>
      <c r="J62">
        <f>'Revenue Build'!J14/1000</f>
        <v>13706.034753195185</v>
      </c>
      <c r="K62">
        <f>'Revenue Build'!K14/1000</f>
        <v>14633.699300515102</v>
      </c>
    </row>
    <row r="64" spans="1:11" x14ac:dyDescent="0.2">
      <c r="A64" t="s">
        <v>832</v>
      </c>
    </row>
    <row r="65" spans="1:2" x14ac:dyDescent="0.2">
      <c r="A65" t="s">
        <v>833</v>
      </c>
      <c r="B65" t="s">
        <v>3</v>
      </c>
    </row>
    <row r="66" spans="1:2" x14ac:dyDescent="0.2">
      <c r="A66" t="s">
        <v>834</v>
      </c>
      <c r="B66">
        <f>'DCF Valuation'!B25</f>
        <v>-578122.62367455103</v>
      </c>
    </row>
    <row r="67" spans="1:2" x14ac:dyDescent="0.2">
      <c r="A67" t="s">
        <v>835</v>
      </c>
      <c r="B67">
        <f>'DCF Valuation'!B30</f>
        <v>1823678.1332422639</v>
      </c>
    </row>
    <row r="68" spans="1:2" x14ac:dyDescent="0.2">
      <c r="A68" t="s">
        <v>836</v>
      </c>
      <c r="B68">
        <f>'DCF Valuation'!B36</f>
        <v>4773233.8905341709</v>
      </c>
    </row>
    <row r="69" spans="1:2" x14ac:dyDescent="0.2">
      <c r="A69" t="s">
        <v>837</v>
      </c>
      <c r="B69">
        <f>'DCF Valuation'!B45</f>
        <v>2720333.3882136662</v>
      </c>
    </row>
    <row r="71" spans="1:2" x14ac:dyDescent="0.2">
      <c r="A71" t="s">
        <v>838</v>
      </c>
    </row>
    <row r="72" spans="1:2" x14ac:dyDescent="0.2">
      <c r="A72" t="s">
        <v>839</v>
      </c>
      <c r="B72" t="s">
        <v>840</v>
      </c>
    </row>
    <row r="73" spans="1:2" x14ac:dyDescent="0.2">
      <c r="A73" t="s">
        <v>841</v>
      </c>
      <c r="B73">
        <f>'Revenue Build'!F43</f>
        <v>4000000</v>
      </c>
    </row>
    <row r="74" spans="1:2" x14ac:dyDescent="0.2">
      <c r="A74" t="s">
        <v>842</v>
      </c>
      <c r="B74">
        <f>'Revenue Build'!F45</f>
        <v>1200000</v>
      </c>
    </row>
    <row r="75" spans="1:2" x14ac:dyDescent="0.2">
      <c r="A75" t="s">
        <v>843</v>
      </c>
      <c r="B75">
        <f>'Revenue Build'!F47</f>
        <v>24000</v>
      </c>
    </row>
    <row r="76" spans="1:2" x14ac:dyDescent="0.2">
      <c r="A76" t="s">
        <v>844</v>
      </c>
      <c r="B76">
        <f>'Revenue Build'!F49</f>
        <v>9600</v>
      </c>
    </row>
    <row r="77" spans="1:2" x14ac:dyDescent="0.2">
      <c r="A77" t="s">
        <v>845</v>
      </c>
      <c r="B77">
        <f>'Revenue Build'!F51</f>
        <v>480</v>
      </c>
    </row>
    <row r="79" spans="1:2" x14ac:dyDescent="0.2">
      <c r="A79" t="s">
        <v>846</v>
      </c>
    </row>
    <row r="80" spans="1:2" x14ac:dyDescent="0.2">
      <c r="A80" t="s">
        <v>839</v>
      </c>
      <c r="B80" t="s">
        <v>840</v>
      </c>
    </row>
    <row r="81" spans="1:11" x14ac:dyDescent="0.2">
      <c r="A81" t="s">
        <v>847</v>
      </c>
      <c r="B81">
        <f>'Revenue Build'!F25</f>
        <v>2500000</v>
      </c>
    </row>
    <row r="82" spans="1:11" x14ac:dyDescent="0.2">
      <c r="A82" t="s">
        <v>848</v>
      </c>
      <c r="B82">
        <f>'Revenue Build'!F27</f>
        <v>100000</v>
      </c>
    </row>
    <row r="83" spans="1:11" x14ac:dyDescent="0.2">
      <c r="A83" t="s">
        <v>849</v>
      </c>
      <c r="B83">
        <f>'Revenue Build'!F29</f>
        <v>2000</v>
      </c>
    </row>
    <row r="84" spans="1:11" x14ac:dyDescent="0.2">
      <c r="A84" t="s">
        <v>850</v>
      </c>
      <c r="B84">
        <f>'Revenue Build'!F31</f>
        <v>160</v>
      </c>
    </row>
    <row r="85" spans="1:11" x14ac:dyDescent="0.2">
      <c r="A85" t="s">
        <v>851</v>
      </c>
      <c r="B85">
        <f>'Revenue Build'!F33</f>
        <v>40</v>
      </c>
    </row>
    <row r="87" spans="1:11" x14ac:dyDescent="0.2">
      <c r="A87" t="s">
        <v>852</v>
      </c>
    </row>
    <row r="88" spans="1:11" x14ac:dyDescent="0.2">
      <c r="A88" t="s">
        <v>805</v>
      </c>
      <c r="B88" t="s">
        <v>259</v>
      </c>
      <c r="C88" t="s">
        <v>260</v>
      </c>
      <c r="D88" t="s">
        <v>261</v>
      </c>
      <c r="E88" t="s">
        <v>262</v>
      </c>
      <c r="F88" t="s">
        <v>263</v>
      </c>
      <c r="G88" t="s">
        <v>264</v>
      </c>
      <c r="H88" t="s">
        <v>265</v>
      </c>
      <c r="I88" t="s">
        <v>266</v>
      </c>
      <c r="J88" t="s">
        <v>267</v>
      </c>
      <c r="K88" t="s">
        <v>268</v>
      </c>
    </row>
    <row r="89" spans="1:11" x14ac:dyDescent="0.2">
      <c r="A89" t="s">
        <v>831</v>
      </c>
      <c r="B89">
        <f>'Revenue Build'!B14/1000</f>
        <v>1979.2079999999996</v>
      </c>
      <c r="C89">
        <f>'Revenue Build'!C14/1000</f>
        <v>3397.6403999999998</v>
      </c>
      <c r="D89">
        <f>'Revenue Build'!D14/1000</f>
        <v>5599.3113791999995</v>
      </c>
      <c r="E89">
        <f>'Revenue Build'!E14/1000</f>
        <v>7209.1134007200008</v>
      </c>
      <c r="F89">
        <f>'Revenue Build'!F14/1000</f>
        <v>9653.0028435640797</v>
      </c>
      <c r="G89">
        <f>'Revenue Build'!G14/1000</f>
        <v>10707.407769553389</v>
      </c>
      <c r="H89">
        <f>'Revenue Build'!H14/1000</f>
        <v>11816.389288542849</v>
      </c>
      <c r="I89">
        <f>'Revenue Build'!I14/1000</f>
        <v>12982.273031679073</v>
      </c>
      <c r="J89">
        <f>'Revenue Build'!J14/1000</f>
        <v>13706.034753195185</v>
      </c>
      <c r="K89">
        <f>'Revenue Build'!K14/1000</f>
        <v>14633.699300515102</v>
      </c>
    </row>
    <row r="90" spans="1:11" x14ac:dyDescent="0.2">
      <c r="A90" t="s">
        <v>853</v>
      </c>
      <c r="B90">
        <f>'Revenue Build'!B20/1000</f>
        <v>265.09744799999993</v>
      </c>
      <c r="C90">
        <f>'Revenue Build'!C20/1000</f>
        <v>460.84694039999999</v>
      </c>
      <c r="D90">
        <f>'Revenue Build'!D20/1000</f>
        <v>768.38219377919984</v>
      </c>
      <c r="E90">
        <f>'Revenue Build'!E20/1000</f>
        <v>1000.0321884907202</v>
      </c>
      <c r="F90">
        <f>'Revenue Build'!F20/1000</f>
        <v>1352.494438289074</v>
      </c>
      <c r="G90">
        <f>'Revenue Build'!G20/1000</f>
        <v>1503.1623309637271</v>
      </c>
      <c r="H90">
        <f>'Revenue Build'!H20/1000</f>
        <v>1665.6840003563987</v>
      </c>
      <c r="I90">
        <f>'Revenue Build'!I20/1000</f>
        <v>1832.7558099915632</v>
      </c>
      <c r="J90">
        <f>'Revenue Build'!J20/1000</f>
        <v>1933.1705677025932</v>
      </c>
      <c r="K90">
        <f>'Revenue Build'!K20/1000</f>
        <v>2066.5070118649028</v>
      </c>
    </row>
    <row r="92" spans="1:11" x14ac:dyDescent="0.2">
      <c r="A92" t="s">
        <v>854</v>
      </c>
    </row>
    <row r="93" spans="1:11" x14ac:dyDescent="0.2">
      <c r="A93" t="s">
        <v>805</v>
      </c>
      <c r="B93" t="s">
        <v>259</v>
      </c>
      <c r="C93" t="s">
        <v>260</v>
      </c>
      <c r="D93" t="s">
        <v>261</v>
      </c>
      <c r="E93" t="s">
        <v>262</v>
      </c>
      <c r="F93" t="s">
        <v>263</v>
      </c>
      <c r="G93" t="s">
        <v>264</v>
      </c>
      <c r="H93" t="s">
        <v>265</v>
      </c>
      <c r="I93" t="s">
        <v>266</v>
      </c>
      <c r="J93" t="s">
        <v>267</v>
      </c>
      <c r="K93" t="s">
        <v>268</v>
      </c>
    </row>
    <row r="94" spans="1:11" x14ac:dyDescent="0.2">
      <c r="A94" t="s">
        <v>855</v>
      </c>
      <c r="B94">
        <f>'Revenue Build'!B78/1000</f>
        <v>584.80064799999991</v>
      </c>
      <c r="C94">
        <f>'Revenue Build'!C78/1000</f>
        <v>1205.5534572000001</v>
      </c>
      <c r="D94">
        <f>'Revenue Build'!D78/1000</f>
        <v>2069.7450476191998</v>
      </c>
      <c r="E94">
        <f>'Revenue Build'!E78/1000</f>
        <v>2877.11067549264</v>
      </c>
      <c r="F94">
        <f>'Revenue Build'!F78/1000</f>
        <v>4131.0154205565941</v>
      </c>
      <c r="G94">
        <f>'Revenue Build'!G78/1000</f>
        <v>4676.0815232860505</v>
      </c>
      <c r="H94">
        <f>'Revenue Build'!H78/1000</f>
        <v>5197.545376452772</v>
      </c>
      <c r="I94">
        <f>'Revenue Build'!I78/1000</f>
        <v>5779.1051736153395</v>
      </c>
      <c r="J94">
        <f>'Revenue Build'!J78/1000</f>
        <v>6287.8075386141909</v>
      </c>
      <c r="K94">
        <f>'Revenue Build'!K78/1000</f>
        <v>6941.8386186841699</v>
      </c>
    </row>
    <row r="95" spans="1:11" x14ac:dyDescent="0.2">
      <c r="A95" t="s">
        <v>856</v>
      </c>
      <c r="B95">
        <f>'Cost Build'!B28/1000</f>
        <v>675</v>
      </c>
      <c r="C95">
        <f>'Cost Build'!C28/1000</f>
        <v>927</v>
      </c>
      <c r="D95">
        <f>'Cost Build'!D28/1000</f>
        <v>954.81</v>
      </c>
      <c r="E95">
        <f>'Cost Build'!E28/1000</f>
        <v>1174.6815250000002</v>
      </c>
      <c r="F95">
        <f>'Cost Build'!F28/1000</f>
        <v>1209.9219707499999</v>
      </c>
      <c r="G95">
        <f>'Cost Build'!G28/1000</f>
        <v>1246.2196298724998</v>
      </c>
      <c r="H95">
        <f>'Cost Build'!H28/1000</f>
        <v>1492.5653706612495</v>
      </c>
      <c r="I95">
        <f>'Cost Build'!I28/1000</f>
        <v>1537.3423317810875</v>
      </c>
      <c r="J95">
        <f>'Cost Build'!J28/1000</f>
        <v>1805.1473659773526</v>
      </c>
      <c r="K95">
        <f>'Cost Build'!K28/1000</f>
        <v>1859.3017869566734</v>
      </c>
    </row>
    <row r="96" spans="1:11" x14ac:dyDescent="0.2">
      <c r="A96" t="s">
        <v>857</v>
      </c>
      <c r="B96">
        <f>'Cost Build'!B40/1000</f>
        <v>331</v>
      </c>
      <c r="C96">
        <f>'Cost Build'!C40/1000</f>
        <v>347.55</v>
      </c>
      <c r="D96">
        <f>'Cost Build'!D40/1000</f>
        <v>364.92750000000001</v>
      </c>
      <c r="E96">
        <f>'Cost Build'!E40/1000</f>
        <v>383.17387500000007</v>
      </c>
      <c r="F96">
        <f>'Cost Build'!F40/1000</f>
        <v>402.33256874999995</v>
      </c>
      <c r="G96">
        <f>'Cost Build'!G40/1000</f>
        <v>422.44919718750009</v>
      </c>
      <c r="H96">
        <f>'Cost Build'!H40/1000</f>
        <v>443.57165704687492</v>
      </c>
      <c r="I96">
        <f>'Cost Build'!I40/1000</f>
        <v>465.7502398992188</v>
      </c>
      <c r="J96">
        <f>'Cost Build'!J40/1000</f>
        <v>489.03775189417968</v>
      </c>
      <c r="K96">
        <f>'Cost Build'!K40/1000</f>
        <v>513.48963948888877</v>
      </c>
    </row>
    <row r="98" spans="1:11" x14ac:dyDescent="0.2">
      <c r="A98" t="s">
        <v>858</v>
      </c>
    </row>
    <row r="99" spans="1:11" x14ac:dyDescent="0.2">
      <c r="A99" t="s">
        <v>805</v>
      </c>
      <c r="B99" t="s">
        <v>259</v>
      </c>
      <c r="C99" t="s">
        <v>260</v>
      </c>
      <c r="D99" t="s">
        <v>261</v>
      </c>
      <c r="E99" t="s">
        <v>262</v>
      </c>
      <c r="F99" t="s">
        <v>263</v>
      </c>
      <c r="G99" t="s">
        <v>264</v>
      </c>
      <c r="H99" t="s">
        <v>265</v>
      </c>
      <c r="I99" t="s">
        <v>266</v>
      </c>
      <c r="J99" t="s">
        <v>267</v>
      </c>
      <c r="K99" t="s">
        <v>268</v>
      </c>
    </row>
    <row r="100" spans="1:11" x14ac:dyDescent="0.2">
      <c r="A100" t="s">
        <v>476</v>
      </c>
      <c r="B100">
        <f>'Revenue Build'!B59</f>
        <v>5</v>
      </c>
      <c r="C100">
        <f>'Revenue Build'!C59</f>
        <v>12</v>
      </c>
      <c r="D100">
        <f>'Revenue Build'!D59</f>
        <v>20</v>
      </c>
      <c r="E100">
        <f>'Revenue Build'!E59</f>
        <v>30</v>
      </c>
      <c r="F100">
        <f>'Revenue Build'!F59</f>
        <v>45</v>
      </c>
      <c r="G100">
        <f>'Revenue Build'!G59</f>
        <v>52</v>
      </c>
      <c r="H100">
        <f>'Revenue Build'!H59</f>
        <v>58</v>
      </c>
      <c r="I100">
        <f>'Revenue Build'!I59</f>
        <v>65</v>
      </c>
      <c r="J100">
        <f>'Revenue Build'!J59</f>
        <v>72</v>
      </c>
      <c r="K100">
        <f>'Revenue Build'!K59</f>
        <v>80</v>
      </c>
    </row>
    <row r="101" spans="1:11" x14ac:dyDescent="0.2">
      <c r="A101" t="s">
        <v>859</v>
      </c>
      <c r="B101">
        <f>IF('Revenue Build'!B59=0,0,'Revenue Build'!B71/'Revenue Build'!B59/1000)</f>
        <v>37.5</v>
      </c>
      <c r="C101">
        <f>IF('Revenue Build'!C59=0,0,'Revenue Build'!C71/'Revenue Build'!C59/1000)</f>
        <v>45.5</v>
      </c>
      <c r="D101">
        <f>IF('Revenue Build'!D59=0,0,'Revenue Build'!D71/'Revenue Build'!D59/1000)</f>
        <v>45.5</v>
      </c>
      <c r="E101">
        <f>IF('Revenue Build'!E59=0,0,'Revenue Build'!E71/'Revenue Build'!E59/1000)</f>
        <v>45.5</v>
      </c>
      <c r="F101">
        <f>IF('Revenue Build'!F59=0,0,'Revenue Build'!F71/'Revenue Build'!F59/1000)</f>
        <v>45.5</v>
      </c>
      <c r="G101">
        <f>IF('Revenue Build'!G59=0,0,'Revenue Build'!G71/'Revenue Build'!G59/1000)</f>
        <v>45.5</v>
      </c>
      <c r="H101">
        <f>IF('Revenue Build'!H59=0,0,'Revenue Build'!H71/'Revenue Build'!H59/1000)</f>
        <v>45.5</v>
      </c>
      <c r="I101">
        <f>IF('Revenue Build'!I59=0,0,'Revenue Build'!I71/'Revenue Build'!I59/1000)</f>
        <v>45.5</v>
      </c>
      <c r="J101">
        <f>IF('Revenue Build'!J59=0,0,'Revenue Build'!J71/'Revenue Build'!J59/1000)</f>
        <v>45.5</v>
      </c>
      <c r="K101">
        <f>IF('Revenue Build'!K59=0,0,'Revenue Build'!K71/'Revenue Build'!K59/1000)</f>
        <v>45.5</v>
      </c>
    </row>
    <row r="103" spans="1:11" x14ac:dyDescent="0.2">
      <c r="A103" t="s">
        <v>860</v>
      </c>
      <c r="B103" t="s">
        <v>861</v>
      </c>
    </row>
    <row r="104" spans="1:11" x14ac:dyDescent="0.2">
      <c r="A104" t="s">
        <v>387</v>
      </c>
      <c r="B104">
        <f>'Revenue Build'!F78/1000</f>
        <v>4131.0154205565941</v>
      </c>
    </row>
    <row r="105" spans="1:11" x14ac:dyDescent="0.2">
      <c r="A105" t="s">
        <v>862</v>
      </c>
      <c r="B105">
        <f>-'Cost Build'!F13/1000</f>
        <v>-1866.5853937180543</v>
      </c>
    </row>
    <row r="106" spans="1:11" x14ac:dyDescent="0.2">
      <c r="A106" t="s">
        <v>863</v>
      </c>
      <c r="B106">
        <f>-'Cost Build'!F42/1000</f>
        <v>-1612.2545395</v>
      </c>
    </row>
    <row r="107" spans="1:11" x14ac:dyDescent="0.2">
      <c r="A107" t="s">
        <v>406</v>
      </c>
      <c r="B107">
        <f>'Margin Analysis'!F47/1000</f>
        <v>652.17548733853926</v>
      </c>
    </row>
    <row r="108" spans="1:11" x14ac:dyDescent="0.2">
      <c r="A108" t="s">
        <v>584</v>
      </c>
      <c r="B108">
        <f>'Margin Analysis'!F59/1000</f>
        <v>213.25108052513298</v>
      </c>
    </row>
    <row r="111" spans="1:11" x14ac:dyDescent="0.2">
      <c r="A111" t="s">
        <v>869</v>
      </c>
    </row>
    <row r="112" spans="1:11" x14ac:dyDescent="0.2">
      <c r="A112" t="s">
        <v>805</v>
      </c>
      <c r="B112" t="s">
        <v>800</v>
      </c>
      <c r="C112" t="s">
        <v>801</v>
      </c>
      <c r="D112" t="s">
        <v>802</v>
      </c>
      <c r="E112" t="s">
        <v>803</v>
      </c>
    </row>
    <row r="113" spans="1:5" x14ac:dyDescent="0.2">
      <c r="A113" t="s">
        <v>870</v>
      </c>
      <c r="B113">
        <v>75</v>
      </c>
      <c r="C113">
        <v>55</v>
      </c>
      <c r="D113">
        <v>45</v>
      </c>
      <c r="E113">
        <v>45</v>
      </c>
    </row>
    <row r="114" spans="1:5" x14ac:dyDescent="0.2">
      <c r="A114" t="s">
        <v>864</v>
      </c>
      <c r="B114">
        <v>90</v>
      </c>
      <c r="C114">
        <v>70</v>
      </c>
      <c r="D114">
        <v>50</v>
      </c>
      <c r="E114">
        <v>80</v>
      </c>
    </row>
    <row r="115" spans="1:5" x14ac:dyDescent="0.2">
      <c r="A115" t="s">
        <v>865</v>
      </c>
      <c r="B115">
        <v>95</v>
      </c>
      <c r="C115">
        <v>60</v>
      </c>
      <c r="D115">
        <v>40</v>
      </c>
      <c r="E115">
        <v>70</v>
      </c>
    </row>
    <row r="116" spans="1:5" x14ac:dyDescent="0.2">
      <c r="A116" t="s">
        <v>866</v>
      </c>
      <c r="B116">
        <v>90</v>
      </c>
      <c r="C116">
        <v>50</v>
      </c>
      <c r="D116">
        <v>55</v>
      </c>
      <c r="E116">
        <v>60</v>
      </c>
    </row>
    <row r="117" spans="1:5" x14ac:dyDescent="0.2">
      <c r="A117" t="s">
        <v>871</v>
      </c>
      <c r="B117">
        <v>85</v>
      </c>
      <c r="C117">
        <v>65</v>
      </c>
      <c r="D117">
        <v>45</v>
      </c>
      <c r="E117">
        <v>75</v>
      </c>
    </row>
    <row r="119" spans="1:5" x14ac:dyDescent="0.2">
      <c r="A119" t="s">
        <v>799</v>
      </c>
      <c r="B119" t="s">
        <v>873</v>
      </c>
      <c r="C119" t="s">
        <v>868</v>
      </c>
    </row>
    <row r="120" spans="1:5" x14ac:dyDescent="0.2">
      <c r="A120" t="s">
        <v>800</v>
      </c>
      <c r="B120">
        <v>25</v>
      </c>
      <c r="C120">
        <v>85</v>
      </c>
    </row>
    <row r="121" spans="1:5" x14ac:dyDescent="0.2">
      <c r="A121" t="s">
        <v>801</v>
      </c>
      <c r="B121">
        <v>45</v>
      </c>
      <c r="C121">
        <v>55</v>
      </c>
    </row>
    <row r="122" spans="1:5" x14ac:dyDescent="0.2">
      <c r="A122" t="s">
        <v>802</v>
      </c>
      <c r="B122">
        <v>40</v>
      </c>
      <c r="C122">
        <v>50</v>
      </c>
    </row>
    <row r="123" spans="1:5" x14ac:dyDescent="0.2">
      <c r="A123" t="s">
        <v>803</v>
      </c>
      <c r="B123">
        <v>35</v>
      </c>
      <c r="C123">
        <v>70</v>
      </c>
    </row>
    <row r="124" spans="1:5" x14ac:dyDescent="0.2">
      <c r="A124" t="s">
        <v>872</v>
      </c>
      <c r="B124">
        <v>30</v>
      </c>
      <c r="C124">
        <v>72</v>
      </c>
    </row>
    <row r="126" spans="1:5" x14ac:dyDescent="0.2">
      <c r="A126" t="s">
        <v>874</v>
      </c>
      <c r="B126" t="s">
        <v>861</v>
      </c>
    </row>
    <row r="127" spans="1:5" x14ac:dyDescent="0.2">
      <c r="A127" t="s">
        <v>875</v>
      </c>
      <c r="B127">
        <f>'LBO Analysis'!B18/1000</f>
        <v>2854.8981958244553</v>
      </c>
    </row>
    <row r="128" spans="1:5" x14ac:dyDescent="0.2">
      <c r="A128" t="s">
        <v>552</v>
      </c>
      <c r="B128">
        <f>'LBO Analysis'!B48/1000</f>
        <v>14959.882503838151</v>
      </c>
    </row>
    <row r="129" spans="1:11" x14ac:dyDescent="0.2">
      <c r="A129" t="s">
        <v>876</v>
      </c>
      <c r="B129">
        <f>'LBO Analysis'!B56/1000</f>
        <v>1648.1722388211681</v>
      </c>
    </row>
    <row r="130" spans="1:11" x14ac:dyDescent="0.2">
      <c r="A130" t="s">
        <v>877</v>
      </c>
      <c r="B130">
        <f>'LBO Analysis'!B47/1000</f>
        <v>2639.9792653832033</v>
      </c>
    </row>
    <row r="132" spans="1:11" x14ac:dyDescent="0.2">
      <c r="A132" t="s">
        <v>1041</v>
      </c>
      <c r="B132" t="s">
        <v>259</v>
      </c>
      <c r="C132" t="s">
        <v>260</v>
      </c>
      <c r="D132" t="s">
        <v>261</v>
      </c>
      <c r="E132" t="s">
        <v>262</v>
      </c>
      <c r="F132" t="s">
        <v>263</v>
      </c>
      <c r="G132" t="s">
        <v>264</v>
      </c>
      <c r="H132" t="s">
        <v>265</v>
      </c>
      <c r="I132" t="s">
        <v>266</v>
      </c>
      <c r="J132" t="s">
        <v>267</v>
      </c>
      <c r="K132" t="s">
        <v>268</v>
      </c>
    </row>
    <row r="133" spans="1:11" x14ac:dyDescent="0.2">
      <c r="A133" t="s">
        <v>1042</v>
      </c>
      <c r="B133">
        <f>'Margin Analysis'!B115</f>
        <v>3.1227463342561932</v>
      </c>
      <c r="C133">
        <f>'Margin Analysis'!C115</f>
        <v>1.8778245469810828</v>
      </c>
      <c r="D133">
        <f>'Margin Analysis'!D115</f>
        <v>1.1003649193870515</v>
      </c>
      <c r="E133">
        <f>'Margin Analysis'!E115</f>
        <v>0.9295589174148049</v>
      </c>
      <c r="F133">
        <f>'Margin Analysis'!F115</f>
        <v>0.65868883171339099</v>
      </c>
      <c r="G133">
        <f>'Margin Analysis'!G115</f>
        <v>0.59768647150569043</v>
      </c>
      <c r="H133">
        <f>'Margin Analysis'!H115</f>
        <v>0.62382195580603605</v>
      </c>
      <c r="I133">
        <f>'Margin Analysis'!I115</f>
        <v>0.57543668641876478</v>
      </c>
      <c r="J133">
        <f>'Margin Analysis'!J115</f>
        <v>0.6054218223163863</v>
      </c>
      <c r="K133">
        <f>'Margin Analysis'!K115</f>
        <v>0.55719478234416153</v>
      </c>
    </row>
    <row r="134" spans="1:11" x14ac:dyDescent="0.2">
      <c r="A134" t="s">
        <v>1043</v>
      </c>
      <c r="B134">
        <f>'Margin Analysis'!B111</f>
        <v>0.64497700231609123</v>
      </c>
      <c r="C134">
        <f>'Margin Analysis'!C111</f>
        <v>1.0301366395365232</v>
      </c>
      <c r="D134">
        <f>'Margin Analysis'!D111</f>
        <v>1.7101666833938265</v>
      </c>
      <c r="E134">
        <f>'Margin Analysis'!E111</f>
        <v>1.9939734007926775</v>
      </c>
      <c r="F134">
        <f>'Margin Analysis'!F111</f>
        <v>2.7696035752494681</v>
      </c>
      <c r="G134">
        <f>'Margin Analysis'!G111</f>
        <v>3.0326079568649491</v>
      </c>
      <c r="H134">
        <f>'Margin Analysis'!H111</f>
        <v>2.882615905113731</v>
      </c>
      <c r="I134">
        <f>'Margin Analysis'!I111</f>
        <v>3.1014307024851928</v>
      </c>
      <c r="J134">
        <f>'Margin Analysis'!J111</f>
        <v>2.9280019905948134</v>
      </c>
      <c r="K134">
        <f>'Margin Analysis'!K111</f>
        <v>3.1287237040739866</v>
      </c>
    </row>
    <row r="136" spans="1:11" x14ac:dyDescent="0.2">
      <c r="A136" t="s">
        <v>1044</v>
      </c>
      <c r="B136" t="s">
        <v>259</v>
      </c>
      <c r="C136" t="s">
        <v>260</v>
      </c>
      <c r="D136" t="s">
        <v>261</v>
      </c>
      <c r="E136" t="s">
        <v>262</v>
      </c>
      <c r="F136" t="s">
        <v>263</v>
      </c>
      <c r="G136" t="s">
        <v>264</v>
      </c>
      <c r="H136" t="s">
        <v>265</v>
      </c>
      <c r="I136" t="s">
        <v>266</v>
      </c>
      <c r="J136" t="s">
        <v>267</v>
      </c>
      <c r="K136" t="s">
        <v>268</v>
      </c>
    </row>
    <row r="137" spans="1:11" x14ac:dyDescent="0.2">
      <c r="A137" t="s">
        <v>1045</v>
      </c>
      <c r="B137">
        <f>'Margin Analysis'!B118</f>
        <v>0</v>
      </c>
      <c r="C137">
        <f>'Margin Analysis'!C118</f>
        <v>204.52138046363143</v>
      </c>
      <c r="D137">
        <f>'Margin Analysis'!D118</f>
        <v>144.52082462988014</v>
      </c>
      <c r="E137">
        <f>'Margin Analysis'!E118</f>
        <v>81.11237301993701</v>
      </c>
      <c r="F137">
        <f>'Margin Analysis'!F118</f>
        <v>86.381294444938248</v>
      </c>
      <c r="G137">
        <f>'Margin Analysis'!G118</f>
        <v>35.559284827538782</v>
      </c>
      <c r="H137">
        <f>'Margin Analysis'!H118</f>
        <v>43.902788616182463</v>
      </c>
      <c r="I137">
        <f>'Margin Analysis'!I118</f>
        <v>42.259018362881264</v>
      </c>
      <c r="J137">
        <f>'Margin Analysis'!J118</f>
        <v>37.933046083242772</v>
      </c>
      <c r="K137">
        <f>'Margin Analysis'!K118</f>
        <v>95.031457545345916</v>
      </c>
    </row>
    <row r="138" spans="1:11" x14ac:dyDescent="0.2">
      <c r="A138" t="s">
        <v>1046</v>
      </c>
      <c r="B138">
        <f>'Margin Analysis'!B119</f>
        <v>0</v>
      </c>
      <c r="C138">
        <f>'Margin Analysis'!C119</f>
        <v>6834.6421498856917</v>
      </c>
      <c r="D138">
        <f>'Margin Analysis'!D119</f>
        <v>4340.5145526185706</v>
      </c>
      <c r="E138">
        <f>'Margin Analysis'!E119</f>
        <v>1042.7888722774815</v>
      </c>
      <c r="F138">
        <f>'Margin Analysis'!F119</f>
        <v>1598.2291596154528</v>
      </c>
      <c r="G138">
        <f>'Margin Analysis'!G119</f>
        <v>369.84420515463216</v>
      </c>
      <c r="H138">
        <f>'Margin Analysis'!H119</f>
        <v>-112.67651947604318</v>
      </c>
      <c r="I138">
        <f>'Margin Analysis'!I119</f>
        <v>301.26317970676246</v>
      </c>
      <c r="J138">
        <f>'Margin Analysis'!J119</f>
        <v>-144.59717484553687</v>
      </c>
      <c r="K138">
        <f>'Margin Analysis'!K119</f>
        <v>325.55410278084423</v>
      </c>
    </row>
    <row r="139" spans="1:11" x14ac:dyDescent="0.2">
      <c r="A139" t="s">
        <v>1047</v>
      </c>
      <c r="B139">
        <f>'Margin Analysis'!B120</f>
        <v>0</v>
      </c>
      <c r="C139">
        <f>'Margin Analysis'!C120</f>
        <v>7222.7133014434166</v>
      </c>
      <c r="D139">
        <f>'Margin Analysis'!D120</f>
        <v>4418.4151722552679</v>
      </c>
      <c r="E139">
        <f>'Margin Analysis'!E120</f>
        <v>1152.3236508308701</v>
      </c>
      <c r="F139">
        <f>'Margin Analysis'!F120</f>
        <v>1260.2128825273667</v>
      </c>
      <c r="G139">
        <f>'Margin Analysis'!G120</f>
        <v>426.95879816015059</v>
      </c>
      <c r="H139">
        <f>'Margin Analysis'!H120</f>
        <v>-71.5187146755665</v>
      </c>
      <c r="I139">
        <f>'Margin Analysis'!I120</f>
        <v>225.70531175405154</v>
      </c>
      <c r="J139">
        <f>'Margin Analysis'!J120</f>
        <v>-92.665095973559204</v>
      </c>
      <c r="K139">
        <f>'Margin Analysis'!K120</f>
        <v>233.51529758227949</v>
      </c>
    </row>
    <row r="141" spans="1:11" x14ac:dyDescent="0.2">
      <c r="A141" t="s">
        <v>1048</v>
      </c>
      <c r="B141" t="s">
        <v>259</v>
      </c>
      <c r="C141" t="s">
        <v>260</v>
      </c>
      <c r="D141" t="s">
        <v>261</v>
      </c>
      <c r="E141" t="s">
        <v>262</v>
      </c>
      <c r="F141" t="s">
        <v>263</v>
      </c>
      <c r="G141" t="s">
        <v>264</v>
      </c>
      <c r="H141" t="s">
        <v>265</v>
      </c>
      <c r="I141" t="s">
        <v>266</v>
      </c>
      <c r="J141" t="s">
        <v>267</v>
      </c>
      <c r="K141" t="s">
        <v>268</v>
      </c>
    </row>
    <row r="142" spans="1:11" x14ac:dyDescent="0.2">
      <c r="A142" t="s">
        <v>1049</v>
      </c>
      <c r="B142">
        <f>'Revenue Build'!B138</f>
        <v>4096.7999999999993</v>
      </c>
      <c r="C142">
        <f>'Revenue Build'!C138</f>
        <v>9688.56</v>
      </c>
      <c r="D142">
        <f>'Revenue Build'!D138</f>
        <v>17718.791999999998</v>
      </c>
      <c r="E142">
        <f>'Revenue Build'!E138</f>
        <v>26063.954399999999</v>
      </c>
      <c r="F142">
        <f>'Revenue Build'!F138</f>
        <v>36021.568079999997</v>
      </c>
      <c r="G142">
        <f>'Revenue Build'!G138</f>
        <v>44333.497655999992</v>
      </c>
      <c r="H142">
        <f>'Revenue Build'!H138</f>
        <v>51493.448359199996</v>
      </c>
      <c r="I142">
        <f>'Revenue Build'!I138</f>
        <v>57847.013851439995</v>
      </c>
      <c r="J142">
        <f>'Revenue Build'!J138</f>
        <v>62840.749696008003</v>
      </c>
      <c r="K142">
        <f>'Revenue Build'!K138</f>
        <v>67131.724787205603</v>
      </c>
    </row>
    <row r="143" spans="1:11" x14ac:dyDescent="0.2">
      <c r="A143" t="s">
        <v>1050</v>
      </c>
      <c r="B143">
        <f>'Revenue Build'!B147</f>
        <v>5</v>
      </c>
      <c r="C143">
        <f>'Revenue Build'!C147</f>
        <v>12</v>
      </c>
      <c r="D143">
        <f>'Revenue Build'!D147</f>
        <v>20</v>
      </c>
      <c r="E143">
        <f>'Revenue Build'!E147</f>
        <v>30</v>
      </c>
      <c r="F143">
        <f>'Revenue Build'!F147</f>
        <v>45</v>
      </c>
      <c r="G143">
        <f>'Revenue Build'!G147</f>
        <v>52</v>
      </c>
      <c r="H143">
        <f>'Revenue Build'!H147</f>
        <v>58.000000000000007</v>
      </c>
      <c r="I143">
        <f>'Revenue Build'!I147</f>
        <v>65</v>
      </c>
      <c r="J143">
        <f>'Revenue Build'!J147</f>
        <v>72</v>
      </c>
      <c r="K143">
        <f>'Revenue Build'!K147</f>
        <v>80</v>
      </c>
    </row>
    <row r="145" spans="1:3" x14ac:dyDescent="0.2">
      <c r="A145" t="s">
        <v>1068</v>
      </c>
      <c r="B145" t="s">
        <v>1069</v>
      </c>
      <c r="C145" t="s">
        <v>613</v>
      </c>
    </row>
    <row r="146" spans="1:3" x14ac:dyDescent="0.2">
      <c r="A146" t="s">
        <v>1070</v>
      </c>
      <c r="B146">
        <v>3</v>
      </c>
      <c r="C146">
        <v>5</v>
      </c>
    </row>
    <row r="147" spans="1:3" x14ac:dyDescent="0.2">
      <c r="A147" t="s">
        <v>1071</v>
      </c>
      <c r="B147">
        <v>3</v>
      </c>
      <c r="C147">
        <v>4</v>
      </c>
    </row>
    <row r="148" spans="1:3" x14ac:dyDescent="0.2">
      <c r="A148" t="s">
        <v>1072</v>
      </c>
      <c r="B148">
        <v>2</v>
      </c>
      <c r="C148">
        <v>5</v>
      </c>
    </row>
    <row r="149" spans="1:3" x14ac:dyDescent="0.2">
      <c r="A149" t="s">
        <v>1073</v>
      </c>
      <c r="B149">
        <v>4</v>
      </c>
      <c r="C149">
        <v>3</v>
      </c>
    </row>
    <row r="150" spans="1:3" x14ac:dyDescent="0.2">
      <c r="A150" t="s">
        <v>1074</v>
      </c>
      <c r="B150">
        <v>3</v>
      </c>
      <c r="C150">
        <v>4</v>
      </c>
    </row>
    <row r="151" spans="1:3" x14ac:dyDescent="0.2">
      <c r="A151" t="s">
        <v>1075</v>
      </c>
      <c r="B151">
        <v>3</v>
      </c>
      <c r="C151">
        <v>3</v>
      </c>
    </row>
    <row r="152" spans="1:3" x14ac:dyDescent="0.2">
      <c r="A152" t="s">
        <v>1076</v>
      </c>
      <c r="B152">
        <v>2</v>
      </c>
      <c r="C152">
        <v>4</v>
      </c>
    </row>
    <row r="153" spans="1:3" x14ac:dyDescent="0.2">
      <c r="A153" t="s">
        <v>1077</v>
      </c>
      <c r="B153">
        <v>3</v>
      </c>
      <c r="C153">
        <v>2</v>
      </c>
    </row>
    <row r="154" spans="1:3" x14ac:dyDescent="0.2">
      <c r="A154" t="s">
        <v>1078</v>
      </c>
      <c r="B154">
        <v>3</v>
      </c>
      <c r="C154">
        <v>4</v>
      </c>
    </row>
    <row r="155" spans="1:3" x14ac:dyDescent="0.2">
      <c r="A155" t="s">
        <v>1079</v>
      </c>
      <c r="B155">
        <v>3</v>
      </c>
      <c r="C155">
        <v>3</v>
      </c>
    </row>
    <row r="156" spans="1:3" x14ac:dyDescent="0.2">
      <c r="A156" t="s">
        <v>1080</v>
      </c>
      <c r="B156">
        <v>3</v>
      </c>
      <c r="C156">
        <v>3</v>
      </c>
    </row>
    <row r="157" spans="1:3" x14ac:dyDescent="0.2">
      <c r="A157" t="s">
        <v>1081</v>
      </c>
      <c r="B157">
        <v>4</v>
      </c>
      <c r="C157">
        <v>3</v>
      </c>
    </row>
    <row r="158" spans="1:3" x14ac:dyDescent="0.2">
      <c r="A158" t="s">
        <v>1082</v>
      </c>
      <c r="B158">
        <v>3</v>
      </c>
      <c r="C158">
        <v>4</v>
      </c>
    </row>
    <row r="159" spans="1:3" x14ac:dyDescent="0.2">
      <c r="A159" t="s">
        <v>1083</v>
      </c>
      <c r="B159">
        <v>3</v>
      </c>
      <c r="C159">
        <v>2</v>
      </c>
    </row>
    <row r="160" spans="1:3" x14ac:dyDescent="0.2">
      <c r="A160" t="s">
        <v>691</v>
      </c>
      <c r="B160">
        <v>3</v>
      </c>
      <c r="C160">
        <v>4</v>
      </c>
    </row>
    <row r="161" spans="1:3" x14ac:dyDescent="0.2">
      <c r="A161" t="s">
        <v>1084</v>
      </c>
      <c r="B161">
        <v>2</v>
      </c>
      <c r="C1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 &amp; Summary</vt:lpstr>
      <vt:lpstr>Assumptions</vt:lpstr>
      <vt:lpstr>Revenue Build</vt:lpstr>
      <vt:lpstr>Cost Build</vt:lpstr>
      <vt:lpstr>Margin Analysis</vt:lpstr>
      <vt:lpstr>10-Yr Projection</vt:lpstr>
      <vt:lpstr>Unit Economics</vt:lpstr>
      <vt:lpstr>DCF Valuation</vt:lpstr>
      <vt:lpstr>LBO Analysis</vt:lpstr>
      <vt:lpstr>Scenario Analysis</vt:lpstr>
      <vt:lpstr>Sensitivity Tables</vt:lpstr>
      <vt:lpstr>Risk Framework</vt:lpstr>
      <vt:lpstr>KPI Dashboard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Zhang</dc:creator>
  <cp:lastModifiedBy>Zhang,Will</cp:lastModifiedBy>
  <dcterms:created xsi:type="dcterms:W3CDTF">2026-03-06T15:10:10Z</dcterms:created>
  <dcterms:modified xsi:type="dcterms:W3CDTF">2026-03-06T15:56:11Z</dcterms:modified>
</cp:coreProperties>
</file>